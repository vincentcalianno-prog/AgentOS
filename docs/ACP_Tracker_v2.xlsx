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Negotiations" sheetId="2" state="visible" r:id="rId2"/>
    <sheet xmlns:r="http://schemas.openxmlformats.org/officeDocument/2006/relationships" name="Schema Reference" sheetId="3" state="visible" r:id="rId3"/>
    <sheet xmlns:r="http://schemas.openxmlformats.org/officeDocument/2006/relationships" name="Reference Data" sheetId="4" state="visible" r:id="rId4"/>
    <sheet xmlns:r="http://schemas.openxmlformats.org/officeDocument/2006/relationships" name="Summary"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18">
    <font>
      <name val="Calibri"/>
      <charset val="1"/>
      <family val="2"/>
      <color theme="1"/>
      <sz val="11"/>
    </font>
    <font>
      <name val="Arial"/>
      <family val="0"/>
      <sz val="10"/>
    </font>
    <font>
      <name val="Arial"/>
      <family val="0"/>
      <sz val="10"/>
    </font>
    <font>
      <name val="Arial"/>
      <family val="0"/>
      <sz val="10"/>
    </font>
    <font>
      <name val="Calibri"/>
      <charset val="1"/>
      <family val="0"/>
      <b val="1"/>
      <color rgb="FF1F3864"/>
      <sz val="18"/>
    </font>
    <font>
      <name val="Calibri"/>
      <charset val="1"/>
      <family val="0"/>
      <sz val="10"/>
    </font>
    <font>
      <name val="Calibri"/>
      <charset val="1"/>
      <family val="0"/>
      <b val="1"/>
      <color rgb="FF2E75B6"/>
      <sz val="12"/>
    </font>
    <font>
      <name val="Calibri"/>
      <charset val="1"/>
      <family val="0"/>
      <b val="1"/>
      <color rgb="FF1F3864"/>
      <sz val="14"/>
    </font>
    <font>
      <name val="Calibri"/>
      <charset val="1"/>
      <family val="0"/>
      <i val="1"/>
      <color rgb="FF595959"/>
      <sz val="10"/>
    </font>
    <font>
      <name val="Calibri"/>
      <charset val="1"/>
      <family val="0"/>
      <b val="1"/>
      <color rgb="FFFFFFFF"/>
      <sz val="10"/>
    </font>
    <font>
      <name val="Calibri"/>
      <charset val="1"/>
      <family val="0"/>
      <b val="1"/>
      <color rgb="FF70AD47"/>
      <sz val="8"/>
    </font>
    <font>
      <name val="Calibri"/>
      <charset val="1"/>
      <family val="0"/>
      <b val="1"/>
      <color rgb="FFBF8F00"/>
      <sz val="8"/>
    </font>
    <font>
      <name val="Calibri"/>
      <charset val="1"/>
      <family val="0"/>
      <b val="1"/>
      <color rgb="FF595959"/>
      <sz val="8"/>
    </font>
    <font>
      <name val="Calibri"/>
      <charset val="1"/>
      <family val="0"/>
      <b val="1"/>
      <sz val="11"/>
    </font>
    <font>
      <name val="Calibri"/>
      <charset val="1"/>
      <family val="0"/>
      <b val="1"/>
      <color rgb="FF1F3864"/>
      <sz val="12"/>
    </font>
    <font>
      <name val="Calibri"/>
      <charset val="1"/>
      <family val="0"/>
      <b val="1"/>
      <color rgb="FFC00000"/>
      <sz val="12"/>
    </font>
    <font>
      <name val="Calibri"/>
      <b val="1"/>
      <color rgb="00C00000"/>
      <sz val="12"/>
    </font>
    <font>
      <name val="Calibri"/>
      <sz val="10"/>
    </font>
  </fonts>
  <fills count="13">
    <fill>
      <patternFill/>
    </fill>
    <fill>
      <patternFill patternType="gray125"/>
    </fill>
    <fill>
      <patternFill patternType="solid">
        <fgColor rgb="FF1F3864"/>
        <bgColor rgb="FF333333"/>
      </patternFill>
    </fill>
    <fill>
      <patternFill patternType="solid">
        <fgColor rgb="FFF8F8F8"/>
        <bgColor rgb="FFF2F2F2"/>
      </patternFill>
    </fill>
    <fill>
      <patternFill patternType="solid">
        <fgColor rgb="FFE8F4EA"/>
        <bgColor rgb="FFEAF1F8"/>
      </patternFill>
    </fill>
    <fill>
      <patternFill patternType="solid">
        <fgColor rgb="FFFFF4D6"/>
        <bgColor rgb="FFFDF6E3"/>
      </patternFill>
    </fill>
    <fill>
      <patternFill patternType="solid">
        <fgColor rgb="FFF0F0F0"/>
        <bgColor rgb="FFF2F2F2"/>
      </patternFill>
    </fill>
    <fill>
      <patternFill patternType="solid">
        <fgColor rgb="FFF2F2F2"/>
        <bgColor rgb="FFF0F0F0"/>
      </patternFill>
    </fill>
    <fill>
      <patternFill patternType="solid">
        <fgColor rgb="FFEAF1F8"/>
        <bgColor rgb="FFF0F0F0"/>
      </patternFill>
    </fill>
    <fill>
      <patternFill patternType="solid">
        <fgColor rgb="FFFDF6E3"/>
        <bgColor rgb="FFFFF4D6"/>
      </patternFill>
    </fill>
    <fill>
      <patternFill patternType="solid">
        <fgColor rgb="FFD9E2F3"/>
        <bgColor rgb="FFEAF1F8"/>
      </patternFill>
    </fill>
    <fill>
      <patternFill patternType="solid">
        <fgColor rgb="FFFCE4D6"/>
        <bgColor rgb="FFFFF4D6"/>
      </patternFill>
    </fill>
    <fill>
      <patternFill patternType="solid">
        <fgColor rgb="00FFF4D6"/>
        <bgColor rgb="00FFF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6">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2" borderId="1" applyAlignment="1" pivotButton="0" quotePrefix="0" xfId="0">
      <alignment horizontal="center" vertical="center" wrapText="1"/>
    </xf>
    <xf numFmtId="0" fontId="10" fillId="3" borderId="1" applyAlignment="1" pivotButton="0" quotePrefix="0" xfId="0">
      <alignment horizontal="center" vertical="center" wrapText="1"/>
    </xf>
    <xf numFmtId="0" fontId="11" fillId="3" borderId="1" applyAlignment="1" pivotButton="0" quotePrefix="0" xfId="0">
      <alignment horizontal="center" vertical="center" wrapText="1"/>
    </xf>
    <xf numFmtId="0" fontId="12" fillId="3" borderId="1" applyAlignment="1" pivotButton="0" quotePrefix="0" xfId="0">
      <alignment horizontal="center" vertical="center" wrapText="1"/>
    </xf>
    <xf numFmtId="0" fontId="5" fillId="0"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left" vertical="top" wrapText="1"/>
    </xf>
    <xf numFmtId="0" fontId="5" fillId="6" borderId="1" applyAlignment="1" pivotButton="0" quotePrefix="0" xfId="0">
      <alignment horizontal="center" vertical="center" wrapText="1"/>
    </xf>
    <xf numFmtId="0" fontId="5" fillId="7" borderId="1" applyAlignment="1" pivotButton="0" quotePrefix="0" xfId="0">
      <alignment horizontal="left" vertical="top" wrapText="1"/>
    </xf>
    <xf numFmtId="0" fontId="13" fillId="8" borderId="1" applyAlignment="1" pivotButton="0" quotePrefix="0" xfId="0">
      <alignment horizontal="left" vertical="top" wrapText="1"/>
    </xf>
    <xf numFmtId="0" fontId="5" fillId="8" borderId="1" applyAlignment="1" pivotButton="0" quotePrefix="0" xfId="0">
      <alignment horizontal="left" vertical="top" wrapText="1"/>
    </xf>
    <xf numFmtId="0" fontId="13" fillId="9" borderId="1" applyAlignment="1" pivotButton="0" quotePrefix="0" xfId="0">
      <alignment horizontal="left" vertical="top" wrapText="1"/>
    </xf>
    <xf numFmtId="0" fontId="5" fillId="9" borderId="1" applyAlignment="1" pivotButton="0" quotePrefix="0" xfId="0">
      <alignment horizontal="left" vertical="top" wrapText="1"/>
    </xf>
    <xf numFmtId="0" fontId="8" fillId="0" borderId="0" applyAlignment="1" pivotButton="0" quotePrefix="0" xfId="0">
      <alignment horizontal="general" vertical="bottom"/>
    </xf>
    <xf numFmtId="0" fontId="5" fillId="0" borderId="1" applyAlignment="1" pivotButton="0" quotePrefix="0" xfId="0">
      <alignment horizontal="left" vertical="top"/>
    </xf>
    <xf numFmtId="0" fontId="13" fillId="0" borderId="0" applyAlignment="1" pivotButton="0" quotePrefix="0" xfId="0">
      <alignment horizontal="general" vertical="bottom"/>
    </xf>
    <xf numFmtId="0" fontId="13" fillId="0" borderId="0" applyAlignment="1" pivotButton="0" quotePrefix="0" xfId="0">
      <alignment horizontal="center" vertical="center" wrapText="1"/>
    </xf>
    <xf numFmtId="0" fontId="14" fillId="10" borderId="0"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center" vertical="center" wrapText="1"/>
    </xf>
    <xf numFmtId="0" fontId="15" fillId="11"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16" fillId="0" borderId="0" pivotButton="0" quotePrefix="0" xfId="0"/>
    <xf numFmtId="0" fontId="17" fillId="12" borderId="0" applyAlignment="1" pivotButton="0" quotePrefix="0" xfId="0">
      <alignment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2" borderId="1" applyAlignment="1" pivotButton="0" quotePrefix="0" xfId="0">
      <alignment horizontal="center" vertical="center" wrapText="1"/>
    </xf>
    <xf numFmtId="0" fontId="10" fillId="3" borderId="1" applyAlignment="1" pivotButton="0" quotePrefix="0" xfId="0">
      <alignment horizontal="center" vertical="center" wrapText="1"/>
    </xf>
    <xf numFmtId="0" fontId="11" fillId="3" borderId="1" applyAlignment="1" pivotButton="0" quotePrefix="0" xfId="0">
      <alignment horizontal="center" vertical="center" wrapText="1"/>
    </xf>
    <xf numFmtId="0" fontId="12" fillId="3" borderId="1" applyAlignment="1" pivotButton="0" quotePrefix="0" xfId="0">
      <alignment horizontal="center" vertical="center" wrapText="1"/>
    </xf>
    <xf numFmtId="0" fontId="5" fillId="0"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left" vertical="top" wrapText="1"/>
    </xf>
    <xf numFmtId="0" fontId="5" fillId="6" borderId="1" applyAlignment="1" pivotButton="0" quotePrefix="0" xfId="0">
      <alignment horizontal="center" vertical="center" wrapText="1"/>
    </xf>
    <xf numFmtId="0" fontId="5" fillId="7" borderId="1" applyAlignment="1" pivotButton="0" quotePrefix="0" xfId="0">
      <alignment horizontal="left" vertical="top" wrapText="1"/>
    </xf>
    <xf numFmtId="0" fontId="13" fillId="8" borderId="1" applyAlignment="1" pivotButton="0" quotePrefix="0" xfId="0">
      <alignment horizontal="left" vertical="top" wrapText="1"/>
    </xf>
    <xf numFmtId="0" fontId="5" fillId="8" borderId="1" applyAlignment="1" pivotButton="0" quotePrefix="0" xfId="0">
      <alignment horizontal="left" vertical="top" wrapText="1"/>
    </xf>
    <xf numFmtId="0" fontId="13" fillId="9" borderId="1" applyAlignment="1" pivotButton="0" quotePrefix="0" xfId="0">
      <alignment horizontal="left" vertical="top" wrapText="1"/>
    </xf>
    <xf numFmtId="0" fontId="5" fillId="9" borderId="1" applyAlignment="1" pivotButton="0" quotePrefix="0" xfId="0">
      <alignment horizontal="left" vertical="top" wrapText="1"/>
    </xf>
    <xf numFmtId="0" fontId="5" fillId="0" borderId="1" applyAlignment="1" pivotButton="0" quotePrefix="0" xfId="0">
      <alignment horizontal="left" vertical="top"/>
    </xf>
    <xf numFmtId="0" fontId="13" fillId="0" borderId="0" applyAlignment="1" pivotButton="0" quotePrefix="0" xfId="0">
      <alignment horizontal="general" vertical="bottom"/>
    </xf>
    <xf numFmtId="0" fontId="13" fillId="0" borderId="0" applyAlignment="1" pivotButton="0" quotePrefix="0" xfId="0">
      <alignment horizontal="center" vertical="center" wrapText="1"/>
    </xf>
    <xf numFmtId="0" fontId="14" fillId="10" borderId="0"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center" vertical="center" wrapText="1"/>
    </xf>
    <xf numFmtId="0" fontId="15" fillId="11"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4D6"/>
      <rgbColor rgb="FFE8F4E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AF1F8"/>
      <rgbColor rgb="FFF0F0F0"/>
      <rgbColor rgb="FFFDF6E3"/>
      <rgbColor rgb="FFF2F2F2"/>
      <rgbColor rgb="FFF8F8F8"/>
      <rgbColor rgb="FFCC99FF"/>
      <rgbColor rgb="FFFCE4D6"/>
      <rgbColor rgb="FF2E75B6"/>
      <rgbColor rgb="FF33CCCC"/>
      <rgbColor rgb="FF99CC00"/>
      <rgbColor rgb="FFFFCC00"/>
      <rgbColor rgb="FFBF8F00"/>
      <rgbColor rgb="FFFF6600"/>
      <rgbColor rgb="FF595959"/>
      <rgbColor rgb="FF70AD47"/>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4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0" customWidth="1" style="27" min="1" max="1"/>
  </cols>
  <sheetData>
    <row r="1" ht="22.05" customHeight="1" s="28">
      <c r="A1" s="29" t="inlineStr">
        <is>
          <t>ACP Tracker v2 — README</t>
        </is>
      </c>
    </row>
    <row r="2" ht="15" customHeight="1" s="28">
      <c r="A2" s="30" t="n"/>
    </row>
    <row r="3" ht="15" customHeight="1" s="28">
      <c r="A3" s="31" t="inlineStr">
        <is>
          <t>Purpose</t>
        </is>
      </c>
    </row>
    <row r="4" ht="31.5" customHeight="1" s="28">
      <c r="A4" s="30" t="inlineStr">
        <is>
          <t>This file is the canonical state ledger for Vincent's contract negotiations. It is the migration target for the existing MEPA_MPA_Tracker.xlsx and the input to Agent 3 (State Manager) in the ACP architecture.</t>
        </is>
      </c>
    </row>
    <row r="5" ht="15" customHeight="1" s="28">
      <c r="A5" s="30" t="n"/>
    </row>
    <row r="6" ht="15" customHeight="1" s="28">
      <c r="A6" s="31" t="inlineStr">
        <is>
          <t>Schema Version</t>
        </is>
      </c>
    </row>
    <row r="7" ht="31.5" customHeight="1" s="28">
      <c r="A7" s="30" t="inlineStr">
        <is>
          <t>v2.0 — corresponds to ACP Architecture Specification v2.4 (Section 6.1). Phase 1 contract types: MEPA, MPA.</t>
        </is>
      </c>
    </row>
    <row r="8" ht="15" customHeight="1" s="28">
      <c r="A8" s="30" t="n"/>
    </row>
    <row r="9" ht="15" customHeight="1" s="28">
      <c r="A9" s="31" t="inlineStr">
        <is>
          <t>How to Use This Workbook</t>
        </is>
      </c>
    </row>
    <row r="10" ht="31.5" customHeight="1" s="28">
      <c r="A10" s="30" t="inlineStr">
        <is>
          <t>• Negotiations sheet: the live tracker. All v1 rows preserved. New v2 columns added at the right.</t>
        </is>
      </c>
    </row>
    <row r="11" ht="31.5" customHeight="1" s="28">
      <c r="A11" s="30" t="inlineStr">
        <is>
          <t>• Schema Reference sheet: column-by-column documentation including writer (Human / Agent / Formula) and valid values.</t>
        </is>
      </c>
    </row>
    <row r="12" ht="31.5" customHeight="1" s="28">
      <c r="A12" s="30" t="inlineStr">
        <is>
          <t>• Reference Data sheet: dropdown lists for validated columns. Edit here to extend valid values.</t>
        </is>
      </c>
    </row>
    <row r="13" ht="31.5" customHeight="1" s="28">
      <c r="A13" s="30" t="inlineStr">
        <is>
          <t>• Summary sheet: live formula-driven counts. No manual maintenance.</t>
        </is>
      </c>
    </row>
    <row r="14" ht="15" customHeight="1" s="28">
      <c r="A14" s="30" t="n"/>
    </row>
    <row r="15" ht="15" customHeight="1" s="28">
      <c r="A15" s="31" t="inlineStr">
        <is>
          <t>Color Conventions on the Negotiations Sheet</t>
        </is>
      </c>
    </row>
    <row r="16" ht="31.5" customHeight="1" s="28">
      <c r="A16" s="30" t="inlineStr">
        <is>
          <t>• Pale green column header background = human-writable (SCM owns these columns).</t>
        </is>
      </c>
    </row>
    <row r="17" ht="31.5" customHeight="1" s="28">
      <c r="A17" s="30" t="inlineStr">
        <is>
          <t>• Pale yellow column header background = agent-writable (ACP agents will write here during Phase 1+).</t>
        </is>
      </c>
    </row>
    <row r="18" ht="31.5" customHeight="1" s="28">
      <c r="A18" s="30" t="inlineStr">
        <is>
          <t>• Grey background = formula-derived (do not edit directly).</t>
        </is>
      </c>
    </row>
    <row r="19" ht="15" customHeight="1" s="28">
      <c r="A19" s="30" t="n"/>
    </row>
    <row r="20" ht="15" customHeight="1" s="28">
      <c r="A20" s="31" t="inlineStr">
        <is>
          <t>During Phase 1 (Pre-Agents)</t>
        </is>
      </c>
    </row>
    <row r="21" ht="31.5" customHeight="1" s="28">
      <c r="A21" s="30" t="inlineStr">
        <is>
          <t>During Phase 1 before agents are deployed, the agent-writable columns (yellow) can be left blank or populated manually as Vincent processes negotiations. This is the migration period; agents take over progressively.</t>
        </is>
      </c>
    </row>
    <row r="22" ht="15" customHeight="1" s="28">
      <c r="A22" s="30" t="n"/>
    </row>
    <row r="23" ht="15" customHeight="1" s="28">
      <c r="A23" s="31" t="inlineStr">
        <is>
          <t>Migration to Google Sheets</t>
        </is>
      </c>
    </row>
    <row r="24" ht="31.5" customHeight="1" s="28">
      <c r="A24" s="30" t="inlineStr">
        <is>
          <t>This .xlsx is the local design. The actual operating tracker lives in Google Sheets so ACP agents can write concurrently via the Sheets API. Upload this file to Google Drive, open it in Sheets, and save a copy as a native Google Sheet. Apply data validation manually using the Reference Data sheet as the source.</t>
        </is>
      </c>
    </row>
    <row r="25" ht="15" customHeight="1" s="28">
      <c r="A25" s="30" t="n"/>
    </row>
    <row r="26" ht="15" customHeight="1" s="28">
      <c r="A26" s="31" t="inlineStr">
        <is>
          <t>Tenant Scope</t>
        </is>
      </c>
    </row>
    <row r="27" ht="31.5" customHeight="1" s="28">
      <c r="A27" s="30" t="inlineStr">
        <is>
          <t>This file is Vincent's tracker. Each peer SCM (Tom, Emily, Mugdha) will have their own copy with identical structure when they onboard in Phase 4-5. Each SCM has exclusive write authority on their own tracker; Agent 9 reads across trackers to produce consolidated views.</t>
        </is>
      </c>
    </row>
    <row r="28" ht="15" customHeight="1" s="28">
      <c r="A28" s="30" t="n"/>
    </row>
    <row r="29" ht="15" customHeight="1" s="28">
      <c r="A29" s="31" t="inlineStr">
        <is>
          <t>Reference Documents</t>
        </is>
      </c>
    </row>
    <row r="30" ht="31.5" customHeight="1" s="28">
      <c r="A30" s="30" t="inlineStr">
        <is>
          <t>• ACP Architecture Spec v2.4 — Section 6.1 (Tracker Schema), Section 6.2 (Drive Path Schema)</t>
        </is>
      </c>
    </row>
    <row r="31" ht="31.5" customHeight="1" s="28">
      <c r="A31" s="30" t="inlineStr">
        <is>
          <t>• ACP Implementation Guide v1.1 — Section 4 (Configuration Management)</t>
        </is>
      </c>
    </row>
    <row r="32"/>
    <row r="33"/>
    <row r="34">
      <c r="A34" s="32" t="inlineStr">
        <is>
          <t>ACTION ITEM: Manual Contract Type Review</t>
        </is>
      </c>
    </row>
    <row r="35" ht="140" customHeight="1" s="28">
      <c r="A35" s="33" t="inlineStr">
        <is>
          <t>The Contract Type column was inferred automatically from v1 data. Most rows were defaulted to MEPA. Rows where the v1 Comments column contained "Have MPA in place" were marked MPA (rows 17 and 18: Virginia Transformer and Crawford). However, some rows have ambiguous status indicators that may warrant review:
• Row 15 (Giga): status is "MPA Sent" — currently marked MEPA, may be MPA.
• Row 29 (Bizlink): status is "MPA Sent" — currently marked MEPA, may be MPA.
Action: review the Contract Type column for all 36 negotiations and correct as needed. The values are dropdown-validated against the Reference Data sheet.</t>
        </is>
      </c>
    </row>
    <row r="36"/>
    <row r="37"/>
    <row r="38"/>
    <row r="39"/>
    <row r="40"/>
    <row r="41"/>
    <row r="42"/>
    <row r="43"/>
    <row r="44"/>
    <row r="45"/>
    <row r="46"/>
    <row r="47"/>
    <row r="48"/>
    <row r="49"/>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V40"/>
  <sheetViews>
    <sheetView showFormulas="0" showGridLines="0" showRowColHeaders="1" showZeros="1" rightToLeft="0" tabSelected="0" showOutlineSymbols="1" defaultGridColor="1"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baseColWidth="8" defaultColWidth="8.6796875" defaultRowHeight="15" zeroHeight="0" outlineLevelRow="0"/>
  <cols>
    <col width="5" customWidth="1" style="27" min="1" max="1"/>
    <col width="16" customWidth="1" style="27" min="2" max="2"/>
    <col width="10" customWidth="1" style="27" min="3" max="3"/>
    <col width="38" customWidth="1" style="27" min="4" max="4"/>
    <col width="14" customWidth="1" style="27" min="5" max="5"/>
    <col width="18" customWidth="1" style="27" min="6" max="6"/>
    <col width="30" customWidth="1" style="27" min="7" max="7"/>
    <col width="40" customWidth="1" style="27" min="8" max="8"/>
    <col width="14" customWidth="1" style="27" min="9" max="9"/>
    <col width="12" customWidth="1" style="27" min="10" max="10"/>
    <col width="8" customWidth="1" style="27" min="11" max="11"/>
    <col width="32" customWidth="1" style="27" min="12" max="13"/>
    <col width="14" customWidth="1" style="27" min="14" max="14"/>
    <col width="10" customWidth="1" style="27" min="15" max="15"/>
    <col width="28" customWidth="1" style="27" min="16" max="16"/>
    <col width="36" customWidth="1" style="27" min="17" max="17"/>
    <col width="18" customWidth="1" style="27" min="18" max="18"/>
    <col width="22" customWidth="1" style="27" min="19" max="19"/>
    <col width="14" customWidth="1" style="27" min="20" max="21"/>
    <col width="30" customWidth="1" style="27" min="22" max="22"/>
  </cols>
  <sheetData>
    <row r="1" ht="27.75" customHeight="1" s="28">
      <c r="A1" s="34" t="inlineStr">
        <is>
          <t>ACP Tracker — Contract Negotiation Central Repository</t>
        </is>
      </c>
    </row>
    <row r="2" ht="18" customHeight="1" s="28">
      <c r="A2" s="35" t="inlineStr">
        <is>
          <t>ACP Architecture Spec v2.4 — Phase 1 Scope: MEPA and MPA</t>
        </is>
      </c>
    </row>
    <row r="3" ht="36" customHeight="1" s="28">
      <c r="A3" s="36" t="inlineStr">
        <is>
          <t>#</t>
        </is>
      </c>
      <c r="B3" s="36" t="inlineStr">
        <is>
          <t>Category</t>
        </is>
      </c>
      <c r="C3" s="36" t="inlineStr">
        <is>
          <t>Priority</t>
        </is>
      </c>
      <c r="D3" s="36" t="inlineStr">
        <is>
          <t>Counterparty / Description</t>
        </is>
      </c>
      <c r="E3" s="36" t="inlineStr">
        <is>
          <t>Who's Court</t>
        </is>
      </c>
      <c r="F3" s="36" t="inlineStr">
        <is>
          <t>Status</t>
        </is>
      </c>
      <c r="G3" s="36" t="inlineStr">
        <is>
          <t>Comments</t>
        </is>
      </c>
      <c r="H3" s="36" t="inlineStr">
        <is>
          <t>Action / Next Steps</t>
        </is>
      </c>
      <c r="I3" s="36" t="inlineStr">
        <is>
          <t>Contract Type</t>
        </is>
      </c>
      <c r="J3" s="36" t="inlineStr">
        <is>
          <t>Owner (SCM)</t>
        </is>
      </c>
      <c r="K3" s="36" t="inlineStr">
        <is>
          <t>Round Number</t>
        </is>
      </c>
      <c r="L3" s="36" t="inlineStr">
        <is>
          <t>Last Antora Version Sent</t>
        </is>
      </c>
      <c r="M3" s="36" t="inlineStr">
        <is>
          <t>Last Counterparty Version</t>
        </is>
      </c>
      <c r="N3" s="36" t="inlineStr">
        <is>
          <t>Last Activity Date</t>
        </is>
      </c>
      <c r="O3" s="36" t="inlineStr">
        <is>
          <t>Days Since Last Activity</t>
        </is>
      </c>
      <c r="P3" s="36" t="inlineStr">
        <is>
          <t>Gmail Thread ID</t>
        </is>
      </c>
      <c r="Q3" s="36" t="inlineStr">
        <is>
          <t>Drive Folder Path</t>
        </is>
      </c>
      <c r="R3" s="36" t="inlineStr">
        <is>
          <t>LRS Status</t>
        </is>
      </c>
      <c r="S3" s="36" t="inlineStr">
        <is>
          <t>Counterparty Profile Ref</t>
        </is>
      </c>
      <c r="T3" s="36" t="inlineStr">
        <is>
          <t>Last LRS Sent Date</t>
        </is>
      </c>
      <c r="U3" s="36" t="inlineStr">
        <is>
          <t>Automation Status</t>
        </is>
      </c>
      <c r="V3" s="36" t="inlineStr">
        <is>
          <t>Audit Log Ref</t>
        </is>
      </c>
    </row>
    <row r="4" ht="13.5" customHeight="1" s="28">
      <c r="A4" s="37" t="inlineStr">
        <is>
          <t>Human</t>
        </is>
      </c>
      <c r="B4" s="37" t="inlineStr">
        <is>
          <t>Human</t>
        </is>
      </c>
      <c r="C4" s="37" t="inlineStr">
        <is>
          <t>Human</t>
        </is>
      </c>
      <c r="D4" s="37" t="inlineStr">
        <is>
          <t>Human</t>
        </is>
      </c>
      <c r="E4" s="37" t="inlineStr">
        <is>
          <t>Human</t>
        </is>
      </c>
      <c r="F4" s="37" t="inlineStr">
        <is>
          <t>Human</t>
        </is>
      </c>
      <c r="G4" s="37" t="inlineStr">
        <is>
          <t>Human</t>
        </is>
      </c>
      <c r="H4" s="37" t="inlineStr">
        <is>
          <t>Human</t>
        </is>
      </c>
      <c r="I4" s="37" t="inlineStr">
        <is>
          <t>Human</t>
        </is>
      </c>
      <c r="J4" s="37" t="inlineStr">
        <is>
          <t>Human</t>
        </is>
      </c>
      <c r="K4" s="38" t="inlineStr">
        <is>
          <t>Agent</t>
        </is>
      </c>
      <c r="L4" s="38" t="inlineStr">
        <is>
          <t>Agent</t>
        </is>
      </c>
      <c r="M4" s="38" t="inlineStr">
        <is>
          <t>Agent</t>
        </is>
      </c>
      <c r="N4" s="38" t="inlineStr">
        <is>
          <t>Agent</t>
        </is>
      </c>
      <c r="O4" s="39" t="inlineStr">
        <is>
          <t>Formula</t>
        </is>
      </c>
      <c r="P4" s="38" t="inlineStr">
        <is>
          <t>Agent</t>
        </is>
      </c>
      <c r="Q4" s="38" t="inlineStr">
        <is>
          <t>Agent</t>
        </is>
      </c>
      <c r="R4" s="38" t="inlineStr">
        <is>
          <t>Agent</t>
        </is>
      </c>
      <c r="S4" s="38" t="inlineStr">
        <is>
          <t>Agent</t>
        </is>
      </c>
      <c r="T4" s="38" t="inlineStr">
        <is>
          <t>Agent</t>
        </is>
      </c>
      <c r="U4" s="37" t="inlineStr">
        <is>
          <t>Human</t>
        </is>
      </c>
      <c r="V4" s="38" t="inlineStr">
        <is>
          <t>Agent</t>
        </is>
      </c>
    </row>
    <row r="5" ht="30" customHeight="1" s="28">
      <c r="A5" s="40" t="n">
        <v>1</v>
      </c>
      <c r="B5" s="40" t="inlineStr">
        <is>
          <t>BOP-EE</t>
        </is>
      </c>
      <c r="C5" s="40" t="inlineStr">
        <is>
          <t>High</t>
        </is>
      </c>
      <c r="D5" s="40" t="inlineStr">
        <is>
          <t>Texas Transformers - 67 1.5MVA TES XFMRs</t>
        </is>
      </c>
      <c r="E5" s="40" t="inlineStr">
        <is>
          <t>Vincent</t>
        </is>
      </c>
      <c r="F5" s="40" t="inlineStr">
        <is>
          <t>Negotiating</t>
        </is>
      </c>
      <c r="G5" s="40" t="n"/>
      <c r="H5" s="40" t="inlineStr">
        <is>
          <t>Vincent to send redline review to Sandy</t>
        </is>
      </c>
      <c r="I5" s="41" t="inlineStr">
        <is>
          <t>MEPA</t>
        </is>
      </c>
      <c r="J5" s="41" t="inlineStr">
        <is>
          <t>Vincent</t>
        </is>
      </c>
      <c r="K5" s="42" t="n"/>
      <c r="L5" s="42" t="n"/>
      <c r="M5" s="42" t="n"/>
      <c r="N5" s="42" t="n"/>
      <c r="O5" s="43">
        <f>IF(ISBLANK(N5),"",TODAY()-N5)</f>
        <v/>
      </c>
      <c r="P5" s="42" t="n"/>
      <c r="Q5" s="42" t="inlineStr">
        <is>
          <t>ACP_Negotiations_Vincent/MEPA/Texas_Transformers/</t>
        </is>
      </c>
      <c r="R5" s="42" t="n"/>
      <c r="S5" s="42" t="n"/>
      <c r="T5" s="42" t="n"/>
      <c r="U5" s="41" t="inlineStr">
        <is>
          <t>Manual Only</t>
        </is>
      </c>
      <c r="V5" s="42" t="n"/>
    </row>
    <row r="6" ht="30" customHeight="1" s="28">
      <c r="A6" s="44" t="n">
        <v>2</v>
      </c>
      <c r="B6" s="44" t="inlineStr">
        <is>
          <t>BOP-EE</t>
        </is>
      </c>
      <c r="C6" s="44" t="inlineStr">
        <is>
          <t>High</t>
        </is>
      </c>
      <c r="D6" s="44" t="inlineStr">
        <is>
          <t>MCM Engineering - PDC</t>
        </is>
      </c>
      <c r="E6" s="44" t="inlineStr">
        <is>
          <t>Vincent</t>
        </is>
      </c>
      <c r="F6" s="44" t="inlineStr">
        <is>
          <t>Negotiating</t>
        </is>
      </c>
      <c r="G6" s="44" t="n"/>
      <c r="H6" s="44" t="inlineStr">
        <is>
          <t>Vincent to provide updated MEPA based on redline feedback and agreed upon T&amp;Cs</t>
        </is>
      </c>
      <c r="I6" s="41" t="inlineStr">
        <is>
          <t>MEPA</t>
        </is>
      </c>
      <c r="J6" s="41" t="inlineStr">
        <is>
          <t>Vincent</t>
        </is>
      </c>
      <c r="K6" s="42" t="n"/>
      <c r="L6" s="42" t="n"/>
      <c r="M6" s="42" t="n"/>
      <c r="N6" s="42" t="n"/>
      <c r="O6" s="43">
        <f>IF(ISBLANK(N6),"",TODAY()-N6)</f>
        <v/>
      </c>
      <c r="P6" s="42" t="n"/>
      <c r="Q6" s="42" t="inlineStr">
        <is>
          <t>ACP_Negotiations_Vincent/MEPA/MCM_Engineering/</t>
        </is>
      </c>
      <c r="R6" s="42" t="n"/>
      <c r="S6" s="42" t="n"/>
      <c r="T6" s="42" t="n"/>
      <c r="U6" s="41" t="inlineStr">
        <is>
          <t>Manual Only</t>
        </is>
      </c>
      <c r="V6" s="42" t="n"/>
    </row>
    <row r="7" ht="30" customHeight="1" s="28">
      <c r="A7" s="40" t="n">
        <v>3</v>
      </c>
      <c r="B7" s="40" t="inlineStr">
        <is>
          <t>BOP-EE</t>
        </is>
      </c>
      <c r="C7" s="40" t="inlineStr">
        <is>
          <t>High</t>
        </is>
      </c>
      <c r="D7" s="40" t="inlineStr">
        <is>
          <t>Federal Pacific (Electro Mechanical) - TES SWGR</t>
        </is>
      </c>
      <c r="E7" s="40" t="inlineStr">
        <is>
          <t>Vincent</t>
        </is>
      </c>
      <c r="F7" s="40" t="inlineStr">
        <is>
          <t>Negotiating</t>
        </is>
      </c>
      <c r="G7" s="40" t="n"/>
      <c r="H7" s="40" t="inlineStr">
        <is>
          <t>Jeff would like Vincent to review the LRS and update strategy</t>
        </is>
      </c>
      <c r="I7" s="41" t="inlineStr">
        <is>
          <t>MEPA</t>
        </is>
      </c>
      <c r="J7" s="41" t="inlineStr">
        <is>
          <t>Vincent</t>
        </is>
      </c>
      <c r="K7" s="42" t="n"/>
      <c r="L7" s="42" t="n"/>
      <c r="M7" s="42" t="n"/>
      <c r="N7" s="42" t="n"/>
      <c r="O7" s="43">
        <f>IF(ISBLANK(N7),"",TODAY()-N7)</f>
        <v/>
      </c>
      <c r="P7" s="42" t="n"/>
      <c r="Q7" s="42" t="inlineStr">
        <is>
          <t>ACP_Negotiations_Vincent/MEPA/Federal_Pacific_(Electro_Mechanical)/</t>
        </is>
      </c>
      <c r="R7" s="42" t="n"/>
      <c r="S7" s="42" t="n"/>
      <c r="T7" s="42" t="n"/>
      <c r="U7" s="41" t="inlineStr">
        <is>
          <t>Manual Only</t>
        </is>
      </c>
      <c r="V7" s="42" t="n"/>
    </row>
    <row r="8" ht="30" customHeight="1" s="28">
      <c r="A8" s="44" t="n">
        <v>4</v>
      </c>
      <c r="B8" s="44" t="inlineStr">
        <is>
          <t>BOP-EE</t>
        </is>
      </c>
      <c r="C8" s="44" t="inlineStr">
        <is>
          <t>High</t>
        </is>
      </c>
      <c r="D8" s="44" t="inlineStr">
        <is>
          <t>International Electric Co., Ltd. - MV XFMRs</t>
        </is>
      </c>
      <c r="E8" s="44" t="inlineStr">
        <is>
          <t>Legal</t>
        </is>
      </c>
      <c r="F8" s="44" t="inlineStr">
        <is>
          <t>Requested</t>
        </is>
      </c>
      <c r="G8" s="44" t="n"/>
      <c r="H8" s="44" t="inlineStr">
        <is>
          <t>Sandy to send over to IEC</t>
        </is>
      </c>
      <c r="I8" s="41" t="inlineStr">
        <is>
          <t>MEPA</t>
        </is>
      </c>
      <c r="J8" s="41" t="inlineStr">
        <is>
          <t>Vincent</t>
        </is>
      </c>
      <c r="K8" s="42" t="n"/>
      <c r="L8" s="42" t="n"/>
      <c r="M8" s="42" t="n"/>
      <c r="N8" s="42" t="n"/>
      <c r="O8" s="43">
        <f>IF(ISBLANK(N8),"",TODAY()-N8)</f>
        <v/>
      </c>
      <c r="P8" s="42" t="n"/>
      <c r="Q8" s="42" t="inlineStr">
        <is>
          <t>ACP_Negotiations_Vincent/MEPA/International_Electric_Co_Ltd/</t>
        </is>
      </c>
      <c r="R8" s="42" t="n"/>
      <c r="S8" s="42" t="n"/>
      <c r="T8" s="42" t="n"/>
      <c r="U8" s="41" t="inlineStr">
        <is>
          <t>Manual Only</t>
        </is>
      </c>
      <c r="V8" s="42" t="n"/>
    </row>
    <row r="9" ht="30" customHeight="1" s="28">
      <c r="A9" s="40" t="n">
        <v>5</v>
      </c>
      <c r="B9" s="40" t="inlineStr">
        <is>
          <t>BOP-EE</t>
        </is>
      </c>
      <c r="C9" s="40" t="inlineStr">
        <is>
          <t>-</t>
        </is>
      </c>
      <c r="D9" s="40" t="inlineStr">
        <is>
          <t>Avail (now nVent) - Primary SWGR</t>
        </is>
      </c>
      <c r="E9" s="40" t="inlineStr">
        <is>
          <t>Supplier</t>
        </is>
      </c>
      <c r="F9" s="40" t="inlineStr">
        <is>
          <t>Negotiating</t>
        </is>
      </c>
      <c r="G9" s="40" t="n"/>
      <c r="H9" s="40" t="inlineStr">
        <is>
          <t>Vincent to follow up</t>
        </is>
      </c>
      <c r="I9" s="41" t="inlineStr">
        <is>
          <t>MEPA</t>
        </is>
      </c>
      <c r="J9" s="41" t="inlineStr">
        <is>
          <t>Vincent</t>
        </is>
      </c>
      <c r="K9" s="42" t="n"/>
      <c r="L9" s="42" t="n"/>
      <c r="M9" s="42" t="n"/>
      <c r="N9" s="42" t="n"/>
      <c r="O9" s="43">
        <f>IF(ISBLANK(N9),"",TODAY()-N9)</f>
        <v/>
      </c>
      <c r="P9" s="42" t="n"/>
      <c r="Q9" s="42" t="inlineStr">
        <is>
          <t>ACP_Negotiations_Vincent/MEPA/Avail_(now_nVent)/</t>
        </is>
      </c>
      <c r="R9" s="42" t="n"/>
      <c r="S9" s="42" t="n"/>
      <c r="T9" s="42" t="n"/>
      <c r="U9" s="41" t="inlineStr">
        <is>
          <t>Manual Only</t>
        </is>
      </c>
      <c r="V9" s="42" t="n"/>
    </row>
    <row r="10" ht="30" customHeight="1" s="28">
      <c r="A10" s="44" t="n">
        <v>6</v>
      </c>
      <c r="B10" s="44" t="inlineStr">
        <is>
          <t>BOP-EE</t>
        </is>
      </c>
      <c r="C10" s="44" t="inlineStr">
        <is>
          <t>-</t>
        </is>
      </c>
      <c r="D10" s="44" t="inlineStr">
        <is>
          <t>Rexel (Rockwell) - Variable Frequency Drives</t>
        </is>
      </c>
      <c r="E10" s="44" t="inlineStr">
        <is>
          <t>Vincent</t>
        </is>
      </c>
      <c r="F10" s="44" t="inlineStr">
        <is>
          <t>Not Started</t>
        </is>
      </c>
      <c r="G10" s="44" t="n"/>
      <c r="H10" s="44" t="inlineStr">
        <is>
          <t>Vincent to collect information for MEPA execution</t>
        </is>
      </c>
      <c r="I10" s="41" t="inlineStr">
        <is>
          <t>MEPA</t>
        </is>
      </c>
      <c r="J10" s="41" t="inlineStr">
        <is>
          <t>Vincent</t>
        </is>
      </c>
      <c r="K10" s="42" t="n"/>
      <c r="L10" s="42" t="n"/>
      <c r="M10" s="42" t="n"/>
      <c r="N10" s="42" t="n"/>
      <c r="O10" s="43">
        <f>IF(ISBLANK(N10),"",TODAY()-N10)</f>
        <v/>
      </c>
      <c r="P10" s="42" t="n"/>
      <c r="Q10" s="42" t="inlineStr">
        <is>
          <t>ACP_Negotiations_Vincent/MEPA/Rexel_(Rockwell)/</t>
        </is>
      </c>
      <c r="R10" s="42" t="n"/>
      <c r="S10" s="42" t="n"/>
      <c r="T10" s="42" t="n"/>
      <c r="U10" s="41" t="inlineStr">
        <is>
          <t>Manual Only</t>
        </is>
      </c>
      <c r="V10" s="42" t="n"/>
    </row>
    <row r="11" ht="30" customHeight="1" s="28">
      <c r="A11" s="40" t="n">
        <v>7</v>
      </c>
      <c r="B11" s="40" t="inlineStr">
        <is>
          <t>BOP-EE</t>
        </is>
      </c>
      <c r="C11" s="40" t="inlineStr">
        <is>
          <t>-</t>
        </is>
      </c>
      <c r="D11" s="40" t="inlineStr">
        <is>
          <t>Cummins</t>
        </is>
      </c>
      <c r="E11" s="40" t="inlineStr">
        <is>
          <t>Legal</t>
        </is>
      </c>
      <c r="F11" s="40" t="inlineStr">
        <is>
          <t>Negotiating</t>
        </is>
      </c>
      <c r="G11" s="40" t="n"/>
      <c r="H11" s="40" t="inlineStr">
        <is>
          <t>Sandy has edits from Jeff and will send to Vincent</t>
        </is>
      </c>
      <c r="I11" s="41" t="inlineStr">
        <is>
          <t>MEPA</t>
        </is>
      </c>
      <c r="J11" s="41" t="inlineStr">
        <is>
          <t>Vincent</t>
        </is>
      </c>
      <c r="K11" s="42" t="n"/>
      <c r="L11" s="42" t="n"/>
      <c r="M11" s="42" t="n"/>
      <c r="N11" s="42" t="n"/>
      <c r="O11" s="43">
        <f>IF(ISBLANK(N11),"",TODAY()-N11)</f>
        <v/>
      </c>
      <c r="P11" s="42" t="n"/>
      <c r="Q11" s="42" t="inlineStr">
        <is>
          <t>ACP_Negotiations_Vincent/MEPA/Cummins/</t>
        </is>
      </c>
      <c r="R11" s="42" t="n"/>
      <c r="S11" s="42" t="n"/>
      <c r="T11" s="42" t="n"/>
      <c r="U11" s="41" t="inlineStr">
        <is>
          <t>Manual Only</t>
        </is>
      </c>
      <c r="V11" s="42" t="n"/>
    </row>
    <row r="12" ht="30" customHeight="1" s="28">
      <c r="A12" s="44" t="n">
        <v>8</v>
      </c>
      <c r="B12" s="44" t="inlineStr">
        <is>
          <t>BOP-EE</t>
        </is>
      </c>
      <c r="C12" s="44" t="inlineStr">
        <is>
          <t>High</t>
        </is>
      </c>
      <c r="D12" s="44" t="inlineStr">
        <is>
          <t>Shermco</t>
        </is>
      </c>
      <c r="E12" s="44" t="inlineStr">
        <is>
          <t>Legal</t>
        </is>
      </c>
      <c r="F12" s="44" t="inlineStr">
        <is>
          <t>Requested</t>
        </is>
      </c>
      <c r="G12" s="44" t="n"/>
      <c r="H12" s="44" t="inlineStr">
        <is>
          <t>Vincent submitted request to the contract tool</t>
        </is>
      </c>
      <c r="I12" s="41" t="inlineStr">
        <is>
          <t>MEPA</t>
        </is>
      </c>
      <c r="J12" s="41" t="inlineStr">
        <is>
          <t>Vincent</t>
        </is>
      </c>
      <c r="K12" s="42" t="n"/>
      <c r="L12" s="42" t="n"/>
      <c r="M12" s="42" t="n"/>
      <c r="N12" s="42" t="n"/>
      <c r="O12" s="43">
        <f>IF(ISBLANK(N12),"",TODAY()-N12)</f>
        <v/>
      </c>
      <c r="P12" s="42" t="n"/>
      <c r="Q12" s="42" t="inlineStr">
        <is>
          <t>ACP_Negotiations_Vincent/MEPA/Shermco/</t>
        </is>
      </c>
      <c r="R12" s="42" t="n"/>
      <c r="S12" s="42" t="n"/>
      <c r="T12" s="42" t="n"/>
      <c r="U12" s="41" t="inlineStr">
        <is>
          <t>Manual Only</t>
        </is>
      </c>
      <c r="V12" s="42" t="n"/>
    </row>
    <row r="13" ht="30" customHeight="1" s="28">
      <c r="A13" s="40" t="n">
        <v>9</v>
      </c>
      <c r="B13" s="40" t="inlineStr">
        <is>
          <t>BOP-EE</t>
        </is>
      </c>
      <c r="C13" s="40" t="inlineStr">
        <is>
          <t>High</t>
        </is>
      </c>
      <c r="D13" s="40" t="inlineStr">
        <is>
          <t>Hitachi</t>
        </is>
      </c>
      <c r="E13" s="40" t="inlineStr">
        <is>
          <t>Supplier</t>
        </is>
      </c>
      <c r="F13" s="40" t="inlineStr">
        <is>
          <t>Negotiating</t>
        </is>
      </c>
      <c r="G13" s="40" t="n"/>
      <c r="H13" s="40" t="inlineStr">
        <is>
          <t>Sandy to send MEPA to Hitachi</t>
        </is>
      </c>
      <c r="I13" s="41" t="inlineStr">
        <is>
          <t>MEPA</t>
        </is>
      </c>
      <c r="J13" s="41" t="inlineStr">
        <is>
          <t>Vincent</t>
        </is>
      </c>
      <c r="K13" s="42" t="n"/>
      <c r="L13" s="42" t="n"/>
      <c r="M13" s="42" t="n"/>
      <c r="N13" s="42" t="n"/>
      <c r="O13" s="43">
        <f>IF(ISBLANK(N13),"",TODAY()-N13)</f>
        <v/>
      </c>
      <c r="P13" s="42" t="n"/>
      <c r="Q13" s="42" t="inlineStr">
        <is>
          <t>ACP_Negotiations_Vincent/MEPA/Hitachi/</t>
        </is>
      </c>
      <c r="R13" s="42" t="n"/>
      <c r="S13" s="42" t="n"/>
      <c r="T13" s="42" t="n"/>
      <c r="U13" s="41" t="inlineStr">
        <is>
          <t>Manual Only</t>
        </is>
      </c>
      <c r="V13" s="42" t="n"/>
    </row>
    <row r="14" ht="30" customHeight="1" s="28">
      <c r="A14" s="44" t="n">
        <v>10</v>
      </c>
      <c r="B14" s="44" t="inlineStr">
        <is>
          <t>BOP-EE</t>
        </is>
      </c>
      <c r="C14" s="44" t="inlineStr">
        <is>
          <t>-</t>
        </is>
      </c>
      <c r="D14" s="44" t="inlineStr">
        <is>
          <t>Toshiba</t>
        </is>
      </c>
      <c r="E14" s="44" t="inlineStr">
        <is>
          <t>Supplier</t>
        </is>
      </c>
      <c r="F14" s="44" t="inlineStr">
        <is>
          <t>Negotiating</t>
        </is>
      </c>
      <c r="G14" s="44" t="n"/>
      <c r="H14" s="44" t="inlineStr">
        <is>
          <t>Vincent to follow up with supplier</t>
        </is>
      </c>
      <c r="I14" s="41" t="inlineStr">
        <is>
          <t>MEPA</t>
        </is>
      </c>
      <c r="J14" s="41" t="inlineStr">
        <is>
          <t>Vincent</t>
        </is>
      </c>
      <c r="K14" s="42" t="n"/>
      <c r="L14" s="42" t="n"/>
      <c r="M14" s="42" t="n"/>
      <c r="N14" s="42" t="n"/>
      <c r="O14" s="43">
        <f>IF(ISBLANK(N14),"",TODAY()-N14)</f>
        <v/>
      </c>
      <c r="P14" s="42" t="n"/>
      <c r="Q14" s="42" t="inlineStr">
        <is>
          <t>ACP_Negotiations_Vincent/MEPA/Toshiba/</t>
        </is>
      </c>
      <c r="R14" s="42" t="n"/>
      <c r="S14" s="42" t="n"/>
      <c r="T14" s="42" t="n"/>
      <c r="U14" s="41" t="inlineStr">
        <is>
          <t>Manual Only</t>
        </is>
      </c>
      <c r="V14" s="42" t="n"/>
    </row>
    <row r="15" ht="30" customHeight="1" s="28">
      <c r="A15" s="40" t="n">
        <v>11</v>
      </c>
      <c r="B15" s="40" t="inlineStr">
        <is>
          <t>BOP-EE</t>
        </is>
      </c>
      <c r="C15" s="40" t="inlineStr">
        <is>
          <t>-</t>
        </is>
      </c>
      <c r="D15" s="40" t="inlineStr">
        <is>
          <t>JST</t>
        </is>
      </c>
      <c r="E15" s="40" t="inlineStr">
        <is>
          <t>Legal</t>
        </is>
      </c>
      <c r="F15" s="40" t="inlineStr">
        <is>
          <t>Negotiating</t>
        </is>
      </c>
      <c r="G15" s="40" t="n"/>
      <c r="H15" s="40" t="inlineStr">
        <is>
          <t>NDA finalized; LRS in legal's court</t>
        </is>
      </c>
      <c r="I15" s="41" t="inlineStr">
        <is>
          <t>MEPA</t>
        </is>
      </c>
      <c r="J15" s="41" t="inlineStr">
        <is>
          <t>Vincent</t>
        </is>
      </c>
      <c r="K15" s="42" t="n"/>
      <c r="L15" s="42" t="n"/>
      <c r="M15" s="42" t="n"/>
      <c r="N15" s="42" t="n"/>
      <c r="O15" s="43">
        <f>IF(ISBLANK(N15),"",TODAY()-N15)</f>
        <v/>
      </c>
      <c r="P15" s="42" t="n"/>
      <c r="Q15" s="42" t="inlineStr">
        <is>
          <t>ACP_Negotiations_Vincent/MEPA/JST/</t>
        </is>
      </c>
      <c r="R15" s="42" t="n"/>
      <c r="S15" s="42" t="n"/>
      <c r="T15" s="42" t="n"/>
      <c r="U15" s="41" t="inlineStr">
        <is>
          <t>Manual Only</t>
        </is>
      </c>
      <c r="V15" s="42" t="n"/>
    </row>
    <row r="16" ht="30" customHeight="1" s="28">
      <c r="A16" s="44" t="n">
        <v>12</v>
      </c>
      <c r="B16" s="44" t="inlineStr">
        <is>
          <t>BOP-EE</t>
        </is>
      </c>
      <c r="C16" s="44" t="inlineStr">
        <is>
          <t>High</t>
        </is>
      </c>
      <c r="D16" s="44" t="inlineStr">
        <is>
          <t>KEREC</t>
        </is>
      </c>
      <c r="E16" s="44" t="inlineStr">
        <is>
          <t>Legal</t>
        </is>
      </c>
      <c r="F16" s="44" t="inlineStr">
        <is>
          <t>Negotiating</t>
        </is>
      </c>
      <c r="G16" s="44" t="n"/>
      <c r="H16" s="44" t="inlineStr">
        <is>
          <t>Legal to send initial request to KEREC</t>
        </is>
      </c>
      <c r="I16" s="41" t="inlineStr">
        <is>
          <t>MEPA</t>
        </is>
      </c>
      <c r="J16" s="41" t="inlineStr">
        <is>
          <t>Vincent</t>
        </is>
      </c>
      <c r="K16" s="42" t="n"/>
      <c r="L16" s="42" t="n"/>
      <c r="M16" s="42" t="n"/>
      <c r="N16" s="42" t="n"/>
      <c r="O16" s="43">
        <f>IF(ISBLANK(N16),"",TODAY()-N16)</f>
        <v/>
      </c>
      <c r="P16" s="42" t="n"/>
      <c r="Q16" s="42" t="inlineStr">
        <is>
          <t>ACP_Negotiations_Vincent/MEPA/KEREC/</t>
        </is>
      </c>
      <c r="R16" s="42" t="n"/>
      <c r="S16" s="42" t="n"/>
      <c r="T16" s="42" t="n"/>
      <c r="U16" s="41" t="inlineStr">
        <is>
          <t>Manual Only</t>
        </is>
      </c>
      <c r="V16" s="42" t="n"/>
    </row>
    <row r="17" ht="30" customHeight="1" s="28">
      <c r="A17" s="40" t="n">
        <v>13</v>
      </c>
      <c r="B17" s="40" t="inlineStr">
        <is>
          <t>BOP-EE</t>
        </is>
      </c>
      <c r="C17" s="40" t="inlineStr">
        <is>
          <t>-</t>
        </is>
      </c>
      <c r="D17" s="40" t="inlineStr">
        <is>
          <t>Omex</t>
        </is>
      </c>
      <c r="E17" s="40" t="inlineStr">
        <is>
          <t>Legal</t>
        </is>
      </c>
      <c r="F17" s="40" t="inlineStr">
        <is>
          <t>Negotiating</t>
        </is>
      </c>
      <c r="G17" s="40" t="n"/>
      <c r="H17" s="40" t="inlineStr">
        <is>
          <t>Legal to review LRS and provide feedback</t>
        </is>
      </c>
      <c r="I17" s="41" t="inlineStr">
        <is>
          <t>MEPA</t>
        </is>
      </c>
      <c r="J17" s="41" t="inlineStr">
        <is>
          <t>Vincent</t>
        </is>
      </c>
      <c r="K17" s="42" t="n"/>
      <c r="L17" s="42" t="n"/>
      <c r="M17" s="42" t="n"/>
      <c r="N17" s="42" t="n"/>
      <c r="O17" s="43">
        <f>IF(ISBLANK(N17),"",TODAY()-N17)</f>
        <v/>
      </c>
      <c r="P17" s="42" t="n"/>
      <c r="Q17" s="42" t="inlineStr">
        <is>
          <t>ACP_Negotiations_Vincent/MEPA/Omex/</t>
        </is>
      </c>
      <c r="R17" s="42" t="n"/>
      <c r="S17" s="42" t="n"/>
      <c r="T17" s="42" t="n"/>
      <c r="U17" s="41" t="inlineStr">
        <is>
          <t>Manual Only</t>
        </is>
      </c>
      <c r="V17" s="42" t="n"/>
    </row>
    <row r="18" ht="30" customHeight="1" s="28">
      <c r="A18" s="44" t="n">
        <v>14</v>
      </c>
      <c r="B18" s="44" t="inlineStr">
        <is>
          <t>BOP-EE</t>
        </is>
      </c>
      <c r="C18" s="44" t="inlineStr">
        <is>
          <t>High</t>
        </is>
      </c>
      <c r="D18" s="44" t="inlineStr">
        <is>
          <t>PEL</t>
        </is>
      </c>
      <c r="E18" s="44" t="inlineStr">
        <is>
          <t>Supplier</t>
        </is>
      </c>
      <c r="F18" s="44" t="inlineStr">
        <is>
          <t>Redlines Received</t>
        </is>
      </c>
      <c r="G18" s="44" t="n"/>
      <c r="H18" s="44" t="inlineStr">
        <is>
          <t>PEL to send MEPA with redlines back to Antora</t>
        </is>
      </c>
      <c r="I18" s="41" t="inlineStr">
        <is>
          <t>MEPA</t>
        </is>
      </c>
      <c r="J18" s="41" t="inlineStr">
        <is>
          <t>Vincent</t>
        </is>
      </c>
      <c r="K18" s="42" t="n"/>
      <c r="L18" s="42" t="n"/>
      <c r="M18" s="42" t="n"/>
      <c r="N18" s="42" t="n"/>
      <c r="O18" s="43">
        <f>IF(ISBLANK(N18),"",TODAY()-N18)</f>
        <v/>
      </c>
      <c r="P18" s="42" t="n"/>
      <c r="Q18" s="42" t="inlineStr">
        <is>
          <t>ACP_Negotiations_Vincent/MEPA/PEL/</t>
        </is>
      </c>
      <c r="R18" s="42" t="n"/>
      <c r="S18" s="42" t="n"/>
      <c r="T18" s="42" t="n"/>
      <c r="U18" s="41" t="inlineStr">
        <is>
          <t>Manual Only</t>
        </is>
      </c>
      <c r="V18" s="42" t="n"/>
    </row>
    <row r="19" ht="30" customHeight="1" s="28">
      <c r="A19" s="40" t="n">
        <v>15</v>
      </c>
      <c r="B19" s="40" t="inlineStr">
        <is>
          <t>BOP-EE</t>
        </is>
      </c>
      <c r="C19" s="40" t="inlineStr">
        <is>
          <t>-</t>
        </is>
      </c>
      <c r="D19" s="40" t="inlineStr">
        <is>
          <t>Giga</t>
        </is>
      </c>
      <c r="E19" s="40" t="inlineStr">
        <is>
          <t>Supplier</t>
        </is>
      </c>
      <c r="F19" s="40" t="inlineStr">
        <is>
          <t>MPA Sent</t>
        </is>
      </c>
      <c r="G19" s="40" t="n"/>
      <c r="H19" s="40" t="n"/>
      <c r="I19" s="41" t="inlineStr">
        <is>
          <t>MEPA</t>
        </is>
      </c>
      <c r="J19" s="41" t="inlineStr">
        <is>
          <t>Vincent</t>
        </is>
      </c>
      <c r="K19" s="42" t="n"/>
      <c r="L19" s="42" t="n"/>
      <c r="M19" s="42" t="n"/>
      <c r="N19" s="42" t="n"/>
      <c r="O19" s="43">
        <f>IF(ISBLANK(N19),"",TODAY()-N19)</f>
        <v/>
      </c>
      <c r="P19" s="42" t="n"/>
      <c r="Q19" s="42" t="inlineStr">
        <is>
          <t>ACP_Negotiations_Vincent/MEPA/Giga/</t>
        </is>
      </c>
      <c r="R19" s="42" t="n"/>
      <c r="S19" s="42" t="n"/>
      <c r="T19" s="42" t="n"/>
      <c r="U19" s="41" t="inlineStr">
        <is>
          <t>Manual Only</t>
        </is>
      </c>
      <c r="V19" s="42" t="n"/>
    </row>
    <row r="20" ht="30" customHeight="1" s="28">
      <c r="A20" s="44" t="n">
        <v>16</v>
      </c>
      <c r="B20" s="44" t="inlineStr">
        <is>
          <t>BOP-EE</t>
        </is>
      </c>
      <c r="C20" s="44" t="inlineStr">
        <is>
          <t>-</t>
        </is>
      </c>
      <c r="D20" s="44" t="inlineStr">
        <is>
          <t>Moonshot</t>
        </is>
      </c>
      <c r="E20" s="44" t="inlineStr">
        <is>
          <t>Vincent</t>
        </is>
      </c>
      <c r="F20" s="44" t="inlineStr">
        <is>
          <t>Not Started</t>
        </is>
      </c>
      <c r="G20" s="44" t="n"/>
      <c r="H20" s="44" t="n"/>
      <c r="I20" s="41" t="inlineStr">
        <is>
          <t>MEPA</t>
        </is>
      </c>
      <c r="J20" s="41" t="inlineStr">
        <is>
          <t>Vincent</t>
        </is>
      </c>
      <c r="K20" s="42" t="n"/>
      <c r="L20" s="42" t="n"/>
      <c r="M20" s="42" t="n"/>
      <c r="N20" s="42" t="n"/>
      <c r="O20" s="43">
        <f>IF(ISBLANK(N20),"",TODAY()-N20)</f>
        <v/>
      </c>
      <c r="P20" s="42" t="n"/>
      <c r="Q20" s="42" t="inlineStr">
        <is>
          <t>ACP_Negotiations_Vincent/MEPA/Moonshot/</t>
        </is>
      </c>
      <c r="R20" s="42" t="n"/>
      <c r="S20" s="42" t="n"/>
      <c r="T20" s="42" t="n"/>
      <c r="U20" s="41" t="inlineStr">
        <is>
          <t>Manual Only</t>
        </is>
      </c>
      <c r="V20" s="42" t="n"/>
    </row>
    <row r="21" ht="30" customHeight="1" s="28">
      <c r="A21" s="40" t="n">
        <v>17</v>
      </c>
      <c r="B21" s="40" t="inlineStr">
        <is>
          <t>BOP-EE</t>
        </is>
      </c>
      <c r="C21" s="40" t="inlineStr">
        <is>
          <t>-</t>
        </is>
      </c>
      <c r="D21" s="40" t="inlineStr">
        <is>
          <t>Virginia Transformer</t>
        </is>
      </c>
      <c r="E21" s="40" t="inlineStr">
        <is>
          <t>Completed</t>
        </is>
      </c>
      <c r="F21" s="40" t="inlineStr">
        <is>
          <t>Executed / Active</t>
        </is>
      </c>
      <c r="G21" s="40" t="inlineStr">
        <is>
          <t>Have MPA in place</t>
        </is>
      </c>
      <c r="H21" s="40" t="n"/>
      <c r="I21" s="41" t="inlineStr">
        <is>
          <t>MPA</t>
        </is>
      </c>
      <c r="J21" s="41" t="inlineStr">
        <is>
          <t>Vincent</t>
        </is>
      </c>
      <c r="K21" s="42" t="n"/>
      <c r="L21" s="42" t="n"/>
      <c r="M21" s="42" t="n"/>
      <c r="N21" s="42" t="n"/>
      <c r="O21" s="43">
        <f>IF(ISBLANK(N21),"",TODAY()-N21)</f>
        <v/>
      </c>
      <c r="P21" s="42" t="n"/>
      <c r="Q21" s="42" t="inlineStr">
        <is>
          <t>ACP_Negotiations_Vincent/MPA/Virginia_Transformer/</t>
        </is>
      </c>
      <c r="R21" s="42" t="n"/>
      <c r="S21" s="42" t="n"/>
      <c r="T21" s="42" t="n"/>
      <c r="U21" s="41" t="inlineStr">
        <is>
          <t>Manual Only</t>
        </is>
      </c>
      <c r="V21" s="42" t="n"/>
    </row>
    <row r="22" ht="30" customHeight="1" s="28">
      <c r="A22" s="44" t="n">
        <v>18</v>
      </c>
      <c r="B22" s="44" t="inlineStr">
        <is>
          <t>BOP-EE</t>
        </is>
      </c>
      <c r="C22" s="44" t="inlineStr">
        <is>
          <t>-</t>
        </is>
      </c>
      <c r="D22" s="44" t="inlineStr">
        <is>
          <t>Crawford</t>
        </is>
      </c>
      <c r="E22" s="44" t="inlineStr">
        <is>
          <t>Completed</t>
        </is>
      </c>
      <c r="F22" s="44" t="inlineStr">
        <is>
          <t>Executed / Active</t>
        </is>
      </c>
      <c r="G22" s="44" t="inlineStr">
        <is>
          <t>Have MPA in place</t>
        </is>
      </c>
      <c r="H22" s="44" t="n"/>
      <c r="I22" s="41" t="inlineStr">
        <is>
          <t>MPA</t>
        </is>
      </c>
      <c r="J22" s="41" t="inlineStr">
        <is>
          <t>Vincent</t>
        </is>
      </c>
      <c r="K22" s="42" t="n"/>
      <c r="L22" s="42" t="n"/>
      <c r="M22" s="42" t="n"/>
      <c r="N22" s="42" t="n"/>
      <c r="O22" s="43">
        <f>IF(ISBLANK(N22),"",TODAY()-N22)</f>
        <v/>
      </c>
      <c r="P22" s="42" t="n"/>
      <c r="Q22" s="42" t="inlineStr">
        <is>
          <t>ACP_Negotiations_Vincent/MPA/Crawford/</t>
        </is>
      </c>
      <c r="R22" s="42" t="n"/>
      <c r="S22" s="42" t="n"/>
      <c r="T22" s="42" t="n"/>
      <c r="U22" s="41" t="inlineStr">
        <is>
          <t>Manual Only</t>
        </is>
      </c>
      <c r="V22" s="42" t="n"/>
    </row>
    <row r="23" ht="30" customHeight="1" s="28">
      <c r="A23" s="40" t="n">
        <v>19</v>
      </c>
      <c r="B23" s="40" t="inlineStr">
        <is>
          <t>BOP-EE</t>
        </is>
      </c>
      <c r="C23" s="40" t="inlineStr">
        <is>
          <t>-</t>
        </is>
      </c>
      <c r="D23" s="40" t="inlineStr">
        <is>
          <t>Concentric (Cummins) - 2MW Generator</t>
        </is>
      </c>
      <c r="E23" s="40" t="inlineStr">
        <is>
          <t>Vincent</t>
        </is>
      </c>
      <c r="F23" s="40" t="inlineStr">
        <is>
          <t>Not Started</t>
        </is>
      </c>
      <c r="G23" s="40" t="n"/>
      <c r="H23" s="40" t="inlineStr">
        <is>
          <t>Vincent to collect information for MEPA execution</t>
        </is>
      </c>
      <c r="I23" s="41" t="inlineStr">
        <is>
          <t>MEPA</t>
        </is>
      </c>
      <c r="J23" s="41" t="inlineStr">
        <is>
          <t>Vincent</t>
        </is>
      </c>
      <c r="K23" s="42" t="n"/>
      <c r="L23" s="42" t="n"/>
      <c r="M23" s="42" t="n"/>
      <c r="N23" s="42" t="n"/>
      <c r="O23" s="43">
        <f>IF(ISBLANK(N23),"",TODAY()-N23)</f>
        <v/>
      </c>
      <c r="P23" s="42" t="n"/>
      <c r="Q23" s="42" t="inlineStr">
        <is>
          <t>ACP_Negotiations_Vincent/MEPA/Concentric_(Cummins)/</t>
        </is>
      </c>
      <c r="R23" s="42" t="n"/>
      <c r="S23" s="42" t="n"/>
      <c r="T23" s="42" t="n"/>
      <c r="U23" s="41" t="inlineStr">
        <is>
          <t>Manual Only</t>
        </is>
      </c>
      <c r="V23" s="42" t="n"/>
    </row>
    <row r="24" ht="30" customHeight="1" s="28">
      <c r="A24" s="44" t="n">
        <v>20</v>
      </c>
      <c r="B24" s="44" t="inlineStr">
        <is>
          <t>BOP-Service</t>
        </is>
      </c>
      <c r="C24" s="44" t="inlineStr">
        <is>
          <t>-</t>
        </is>
      </c>
      <c r="D24" s="44" t="inlineStr">
        <is>
          <t>Shermco - Installation &amp; Commissioning for BOP</t>
        </is>
      </c>
      <c r="E24" s="44" t="inlineStr">
        <is>
          <t>Vincent</t>
        </is>
      </c>
      <c r="F24" s="44" t="inlineStr">
        <is>
          <t>Negotiating</t>
        </is>
      </c>
      <c r="G24" s="44" t="n"/>
      <c r="H24" s="44" t="inlineStr">
        <is>
          <t>Vincent to review Jeff's email and send feedback to Shermco</t>
        </is>
      </c>
      <c r="I24" s="41" t="inlineStr">
        <is>
          <t>MEPA</t>
        </is>
      </c>
      <c r="J24" s="41" t="inlineStr">
        <is>
          <t>Vincent</t>
        </is>
      </c>
      <c r="K24" s="42" t="n"/>
      <c r="L24" s="42" t="n"/>
      <c r="M24" s="42" t="n"/>
      <c r="N24" s="42" t="n"/>
      <c r="O24" s="43">
        <f>IF(ISBLANK(N24),"",TODAY()-N24)</f>
        <v/>
      </c>
      <c r="P24" s="42" t="n"/>
      <c r="Q24" s="42" t="inlineStr">
        <is>
          <t>ACP_Negotiations_Vincent/MEPA/Shermco/</t>
        </is>
      </c>
      <c r="R24" s="42" t="n"/>
      <c r="S24" s="42" t="n"/>
      <c r="T24" s="42" t="n"/>
      <c r="U24" s="41" t="inlineStr">
        <is>
          <t>Manual Only</t>
        </is>
      </c>
      <c r="V24" s="42" t="n"/>
    </row>
    <row r="25" ht="30" customHeight="1" s="28">
      <c r="A25" s="40" t="n">
        <v>21</v>
      </c>
      <c r="B25" s="40" t="inlineStr">
        <is>
          <t>BOP-Service</t>
        </is>
      </c>
      <c r="C25" s="40" t="inlineStr">
        <is>
          <t>-</t>
        </is>
      </c>
      <c r="D25" s="40" t="inlineStr">
        <is>
          <t>GTS - Installation &amp; Commissioning for XFMRs</t>
        </is>
      </c>
      <c r="E25" s="40" t="inlineStr">
        <is>
          <t>Vincent</t>
        </is>
      </c>
      <c r="F25" s="40" t="inlineStr">
        <is>
          <t>Not Started</t>
        </is>
      </c>
      <c r="G25" s="40" t="n"/>
      <c r="H25" s="40" t="inlineStr">
        <is>
          <t>Vincent to collect MSA information needed from GTS for contract start</t>
        </is>
      </c>
      <c r="I25" s="41" t="inlineStr">
        <is>
          <t>MEPA</t>
        </is>
      </c>
      <c r="J25" s="41" t="inlineStr">
        <is>
          <t>Vincent</t>
        </is>
      </c>
      <c r="K25" s="42" t="n"/>
      <c r="L25" s="42" t="n"/>
      <c r="M25" s="42" t="n"/>
      <c r="N25" s="42" t="n"/>
      <c r="O25" s="43">
        <f>IF(ISBLANK(N25),"",TODAY()-N25)</f>
        <v/>
      </c>
      <c r="P25" s="42" t="n"/>
      <c r="Q25" s="42" t="inlineStr">
        <is>
          <t>ACP_Negotiations_Vincent/MEPA/GTS/</t>
        </is>
      </c>
      <c r="R25" s="42" t="n"/>
      <c r="S25" s="42" t="n"/>
      <c r="T25" s="42" t="n"/>
      <c r="U25" s="41" t="inlineStr">
        <is>
          <t>Manual Only</t>
        </is>
      </c>
      <c r="V25" s="42" t="n"/>
    </row>
    <row r="26" ht="30" customHeight="1" s="28">
      <c r="A26" s="44" t="n">
        <v>22</v>
      </c>
      <c r="B26" s="44" t="inlineStr">
        <is>
          <t>MTS Parts for TES</t>
        </is>
      </c>
      <c r="C26" s="44" t="inlineStr">
        <is>
          <t>-</t>
        </is>
      </c>
      <c r="D26" s="44" t="inlineStr">
        <is>
          <t>Areias - Marshalling Cabinet / TES Cabinet</t>
        </is>
      </c>
      <c r="E26" s="44" t="inlineStr">
        <is>
          <t>Vincent</t>
        </is>
      </c>
      <c r="F26" s="44" t="inlineStr">
        <is>
          <t>Negotiating</t>
        </is>
      </c>
      <c r="G26" s="44" t="n"/>
      <c r="H26" s="44" t="inlineStr">
        <is>
          <t>Vincent to add to LRS</t>
        </is>
      </c>
      <c r="I26" s="41" t="inlineStr">
        <is>
          <t>MEPA</t>
        </is>
      </c>
      <c r="J26" s="41" t="inlineStr">
        <is>
          <t>Vincent</t>
        </is>
      </c>
      <c r="K26" s="42" t="n"/>
      <c r="L26" s="42" t="n"/>
      <c r="M26" s="42" t="n"/>
      <c r="N26" s="42" t="n"/>
      <c r="O26" s="43">
        <f>IF(ISBLANK(N26),"",TODAY()-N26)</f>
        <v/>
      </c>
      <c r="P26" s="42" t="n"/>
      <c r="Q26" s="42" t="inlineStr">
        <is>
          <t>ACP_Negotiations_Vincent/MEPA/Areias/</t>
        </is>
      </c>
      <c r="R26" s="42" t="n"/>
      <c r="S26" s="42" t="n"/>
      <c r="T26" s="42" t="n"/>
      <c r="U26" s="41" t="inlineStr">
        <is>
          <t>Manual Only</t>
        </is>
      </c>
      <c r="V26" s="42" t="n"/>
    </row>
    <row r="27" ht="30" customHeight="1" s="28">
      <c r="A27" s="40" t="n">
        <v>23</v>
      </c>
      <c r="B27" s="40" t="inlineStr">
        <is>
          <t>MTS Parts for TES</t>
        </is>
      </c>
      <c r="C27" s="40" t="inlineStr">
        <is>
          <t>-</t>
        </is>
      </c>
      <c r="D27" s="40" t="inlineStr">
        <is>
          <t>ASG (Rexel) - Marshalling Cabinet / TES Cabinet</t>
        </is>
      </c>
      <c r="E27" s="40" t="inlineStr">
        <is>
          <t>Vincent</t>
        </is>
      </c>
      <c r="F27" s="40" t="inlineStr">
        <is>
          <t>Negotiating</t>
        </is>
      </c>
      <c r="G27" s="40" t="n"/>
      <c r="H27" s="40" t="inlineStr">
        <is>
          <t>Vincent to review and send back to legal</t>
        </is>
      </c>
      <c r="I27" s="41" t="inlineStr">
        <is>
          <t>MEPA</t>
        </is>
      </c>
      <c r="J27" s="41" t="inlineStr">
        <is>
          <t>Vincent</t>
        </is>
      </c>
      <c r="K27" s="42" t="n"/>
      <c r="L27" s="42" t="n"/>
      <c r="M27" s="42" t="n"/>
      <c r="N27" s="42" t="n"/>
      <c r="O27" s="43">
        <f>IF(ISBLANK(N27),"",TODAY()-N27)</f>
        <v/>
      </c>
      <c r="P27" s="42" t="n"/>
      <c r="Q27" s="42" t="inlineStr">
        <is>
          <t>ACP_Negotiations_Vincent/MEPA/ASG_(Rexel)/</t>
        </is>
      </c>
      <c r="R27" s="42" t="n"/>
      <c r="S27" s="42" t="n"/>
      <c r="T27" s="42" t="n"/>
      <c r="U27" s="41" t="inlineStr">
        <is>
          <t>Manual Only</t>
        </is>
      </c>
      <c r="V27" s="42" t="n"/>
    </row>
    <row r="28" ht="30" customHeight="1" s="28">
      <c r="A28" s="44" t="n">
        <v>24</v>
      </c>
      <c r="B28" s="44" t="inlineStr">
        <is>
          <t>MTS Parts for TES</t>
        </is>
      </c>
      <c r="C28" s="44" t="inlineStr">
        <is>
          <t>-</t>
        </is>
      </c>
      <c r="D28" s="44" t="inlineStr">
        <is>
          <t>Nanez - Busbar Enclosure / MCAB Frame</t>
        </is>
      </c>
      <c r="E28" s="44" t="inlineStr">
        <is>
          <t>Legal</t>
        </is>
      </c>
      <c r="F28" s="44" t="inlineStr">
        <is>
          <t>Negotiating</t>
        </is>
      </c>
      <c r="G28" s="44" t="n"/>
      <c r="H28" s="44" t="inlineStr">
        <is>
          <t>Jeff is still reviewing the LRS</t>
        </is>
      </c>
      <c r="I28" s="41" t="inlineStr">
        <is>
          <t>MEPA</t>
        </is>
      </c>
      <c r="J28" s="41" t="inlineStr">
        <is>
          <t>Vincent</t>
        </is>
      </c>
      <c r="K28" s="42" t="n"/>
      <c r="L28" s="42" t="n"/>
      <c r="M28" s="42" t="n"/>
      <c r="N28" s="42" t="n"/>
      <c r="O28" s="43">
        <f>IF(ISBLANK(N28),"",TODAY()-N28)</f>
        <v/>
      </c>
      <c r="P28" s="42" t="n"/>
      <c r="Q28" s="42" t="inlineStr">
        <is>
          <t>ACP_Negotiations_Vincent/MEPA/Nanez/</t>
        </is>
      </c>
      <c r="R28" s="42" t="n"/>
      <c r="S28" s="42" t="n"/>
      <c r="T28" s="42" t="n"/>
      <c r="U28" s="41" t="inlineStr">
        <is>
          <t>Manual Only</t>
        </is>
      </c>
      <c r="V28" s="42" t="n"/>
    </row>
    <row r="29" ht="30" customHeight="1" s="28">
      <c r="A29" s="40" t="n">
        <v>25</v>
      </c>
      <c r="B29" s="40" t="inlineStr">
        <is>
          <t>MTS Parts for TES</t>
        </is>
      </c>
      <c r="C29" s="40" t="inlineStr">
        <is>
          <t>-</t>
        </is>
      </c>
      <c r="D29" s="40" t="inlineStr">
        <is>
          <t>Quantum / RPC / 4iec - Busbar Enclosure / MCAB Frame</t>
        </is>
      </c>
      <c r="E29" s="40" t="inlineStr">
        <is>
          <t>Supplier</t>
        </is>
      </c>
      <c r="F29" s="40" t="inlineStr">
        <is>
          <t>Negotiating</t>
        </is>
      </c>
      <c r="G29" s="40" t="n"/>
      <c r="H29" s="40" t="n"/>
      <c r="I29" s="41" t="inlineStr">
        <is>
          <t>MEPA</t>
        </is>
      </c>
      <c r="J29" s="41" t="inlineStr">
        <is>
          <t>Vincent</t>
        </is>
      </c>
      <c r="K29" s="42" t="n"/>
      <c r="L29" s="42" t="n"/>
      <c r="M29" s="42" t="n"/>
      <c r="N29" s="42" t="n"/>
      <c r="O29" s="43">
        <f>IF(ISBLANK(N29),"",TODAY()-N29)</f>
        <v/>
      </c>
      <c r="P29" s="42" t="n"/>
      <c r="Q29" s="42" t="inlineStr">
        <is>
          <t>ACP_Negotiations_Vincent/MEPA/Quantum___RPC___4iec/</t>
        </is>
      </c>
      <c r="R29" s="42" t="n"/>
      <c r="S29" s="42" t="n"/>
      <c r="T29" s="42" t="n"/>
      <c r="U29" s="41" t="inlineStr">
        <is>
          <t>Manual Only</t>
        </is>
      </c>
      <c r="V29" s="42" t="n"/>
    </row>
    <row r="30" ht="30" customHeight="1" s="28">
      <c r="A30" s="44" t="n">
        <v>26</v>
      </c>
      <c r="B30" s="44" t="inlineStr">
        <is>
          <t>MTS Parts for TES</t>
        </is>
      </c>
      <c r="C30" s="44" t="inlineStr">
        <is>
          <t>-</t>
        </is>
      </c>
      <c r="D30" s="44" t="inlineStr">
        <is>
          <t>JL Precision - Busbar Enclosure / MCAB Frame</t>
        </is>
      </c>
      <c r="E30" s="44" t="inlineStr">
        <is>
          <t>Completed</t>
        </is>
      </c>
      <c r="F30" s="44" t="inlineStr">
        <is>
          <t>Executed / Active</t>
        </is>
      </c>
      <c r="G30" s="44" t="n"/>
      <c r="H30" s="44" t="inlineStr">
        <is>
          <t>Fully executed</t>
        </is>
      </c>
      <c r="I30" s="41" t="inlineStr">
        <is>
          <t>MEPA</t>
        </is>
      </c>
      <c r="J30" s="41" t="inlineStr">
        <is>
          <t>Vincent</t>
        </is>
      </c>
      <c r="K30" s="42" t="n"/>
      <c r="L30" s="42" t="n"/>
      <c r="M30" s="42" t="n"/>
      <c r="N30" s="42" t="n"/>
      <c r="O30" s="43">
        <f>IF(ISBLANK(N30),"",TODAY()-N30)</f>
        <v/>
      </c>
      <c r="P30" s="42" t="n"/>
      <c r="Q30" s="42" t="inlineStr">
        <is>
          <t>ACP_Negotiations_Vincent/MEPA/JL_Precision/</t>
        </is>
      </c>
      <c r="R30" s="42" t="n"/>
      <c r="S30" s="42" t="n"/>
      <c r="T30" s="42" t="n"/>
      <c r="U30" s="41" t="inlineStr">
        <is>
          <t>Manual Only</t>
        </is>
      </c>
      <c r="V30" s="42" t="n"/>
    </row>
    <row r="31" ht="30" customHeight="1" s="28">
      <c r="A31" s="40" t="n">
        <v>27</v>
      </c>
      <c r="B31" s="40" t="inlineStr">
        <is>
          <t>MTS Parts for TES</t>
        </is>
      </c>
      <c r="C31" s="40" t="inlineStr">
        <is>
          <t>-</t>
        </is>
      </c>
      <c r="D31" s="40" t="inlineStr">
        <is>
          <t>Xometry - Busbar Standoff / Other</t>
        </is>
      </c>
      <c r="E31" s="40" t="inlineStr">
        <is>
          <t>Supplier</t>
        </is>
      </c>
      <c r="F31" s="40" t="inlineStr">
        <is>
          <t>Negotiating</t>
        </is>
      </c>
      <c r="G31" s="40" t="n"/>
      <c r="H31" s="40" t="inlineStr">
        <is>
          <t>Vincent to follow up with Xometry</t>
        </is>
      </c>
      <c r="I31" s="41" t="inlineStr">
        <is>
          <t>MEPA</t>
        </is>
      </c>
      <c r="J31" s="41" t="inlineStr">
        <is>
          <t>Vincent</t>
        </is>
      </c>
      <c r="K31" s="42" t="n"/>
      <c r="L31" s="42" t="n"/>
      <c r="M31" s="42" t="n"/>
      <c r="N31" s="42" t="n"/>
      <c r="O31" s="43">
        <f>IF(ISBLANK(N31),"",TODAY()-N31)</f>
        <v/>
      </c>
      <c r="P31" s="42" t="n"/>
      <c r="Q31" s="42" t="inlineStr">
        <is>
          <t>ACP_Negotiations_Vincent/MEPA/Xometry/</t>
        </is>
      </c>
      <c r="R31" s="42" t="n"/>
      <c r="S31" s="42" t="n"/>
      <c r="T31" s="42" t="n"/>
      <c r="U31" s="41" t="inlineStr">
        <is>
          <t>Manual Only</t>
        </is>
      </c>
      <c r="V31" s="42" t="n"/>
    </row>
    <row r="32" ht="30" customHeight="1" s="28">
      <c r="A32" s="44" t="n">
        <v>28</v>
      </c>
      <c r="B32" s="44" t="inlineStr">
        <is>
          <t>MTS Parts for TES</t>
        </is>
      </c>
      <c r="C32" s="44" t="inlineStr">
        <is>
          <t>-</t>
        </is>
      </c>
      <c r="D32" s="44" t="inlineStr">
        <is>
          <t>MPI Morheat</t>
        </is>
      </c>
      <c r="E32" s="44" t="inlineStr">
        <is>
          <t>Completed</t>
        </is>
      </c>
      <c r="F32" s="44" t="inlineStr">
        <is>
          <t>Executed / Active</t>
        </is>
      </c>
      <c r="G32" s="44" t="n"/>
      <c r="H32" s="44" t="inlineStr">
        <is>
          <t>Fully executed</t>
        </is>
      </c>
      <c r="I32" s="41" t="inlineStr">
        <is>
          <t>MEPA</t>
        </is>
      </c>
      <c r="J32" s="41" t="inlineStr">
        <is>
          <t>Vincent</t>
        </is>
      </c>
      <c r="K32" s="42" t="n"/>
      <c r="L32" s="42" t="n"/>
      <c r="M32" s="42" t="n"/>
      <c r="N32" s="42" t="n"/>
      <c r="O32" s="43">
        <f>IF(ISBLANK(N32),"",TODAY()-N32)</f>
        <v/>
      </c>
      <c r="P32" s="42" t="n"/>
      <c r="Q32" s="42" t="inlineStr">
        <is>
          <t>ACP_Negotiations_Vincent/MEPA/MPI_Morheat/</t>
        </is>
      </c>
      <c r="R32" s="42" t="n"/>
      <c r="S32" s="42" t="n"/>
      <c r="T32" s="42" t="n"/>
      <c r="U32" s="41" t="inlineStr">
        <is>
          <t>Manual Only</t>
        </is>
      </c>
      <c r="V32" s="42" t="n"/>
    </row>
    <row r="33" ht="30" customHeight="1" s="28">
      <c r="A33" s="40" t="n">
        <v>29</v>
      </c>
      <c r="B33" s="40" t="inlineStr">
        <is>
          <t>MTS Parts for TES</t>
        </is>
      </c>
      <c r="C33" s="40" t="inlineStr">
        <is>
          <t>-</t>
        </is>
      </c>
      <c r="D33" s="40" t="inlineStr">
        <is>
          <t>Bizlink</t>
        </is>
      </c>
      <c r="E33" s="40" t="inlineStr">
        <is>
          <t>Vincent</t>
        </is>
      </c>
      <c r="F33" s="40" t="inlineStr">
        <is>
          <t>MPA Sent</t>
        </is>
      </c>
      <c r="G33" s="40" t="n"/>
      <c r="H33" s="40" t="inlineStr">
        <is>
          <t>Need to establish more credit / business before MPA can progress</t>
        </is>
      </c>
      <c r="I33" s="41" t="inlineStr">
        <is>
          <t>MEPA</t>
        </is>
      </c>
      <c r="J33" s="41" t="inlineStr">
        <is>
          <t>Vincent</t>
        </is>
      </c>
      <c r="K33" s="42" t="n"/>
      <c r="L33" s="42" t="n"/>
      <c r="M33" s="42" t="n"/>
      <c r="N33" s="42" t="n"/>
      <c r="O33" s="43">
        <f>IF(ISBLANK(N33),"",TODAY()-N33)</f>
        <v/>
      </c>
      <c r="P33" s="42" t="n"/>
      <c r="Q33" s="42" t="inlineStr">
        <is>
          <t>ACP_Negotiations_Vincent/MEPA/Bizlink/</t>
        </is>
      </c>
      <c r="R33" s="42" t="n"/>
      <c r="S33" s="42" t="n"/>
      <c r="T33" s="42" t="n"/>
      <c r="U33" s="41" t="inlineStr">
        <is>
          <t>Manual Only</t>
        </is>
      </c>
      <c r="V33" s="42" t="n"/>
    </row>
    <row r="34" ht="30" customHeight="1" s="28">
      <c r="A34" s="44" t="n">
        <v>30</v>
      </c>
      <c r="B34" s="44" t="inlineStr">
        <is>
          <t>MTS Parts for TES</t>
        </is>
      </c>
      <c r="C34" s="44" t="inlineStr">
        <is>
          <t>-</t>
        </is>
      </c>
      <c r="D34" s="44" t="inlineStr">
        <is>
          <t>Creative Manufacturing Solutions</t>
        </is>
      </c>
      <c r="E34" s="44" t="inlineStr">
        <is>
          <t>Supplier</t>
        </is>
      </c>
      <c r="F34" s="44" t="inlineStr">
        <is>
          <t>Negotiating</t>
        </is>
      </c>
      <c r="G34" s="44" t="n"/>
      <c r="H34" s="44" t="n"/>
      <c r="I34" s="41" t="inlineStr">
        <is>
          <t>MEPA</t>
        </is>
      </c>
      <c r="J34" s="41" t="inlineStr">
        <is>
          <t>Vincent</t>
        </is>
      </c>
      <c r="K34" s="42" t="n"/>
      <c r="L34" s="42" t="n"/>
      <c r="M34" s="42" t="n"/>
      <c r="N34" s="42" t="n"/>
      <c r="O34" s="43">
        <f>IF(ISBLANK(N34),"",TODAY()-N34)</f>
        <v/>
      </c>
      <c r="P34" s="42" t="n"/>
      <c r="Q34" s="42" t="inlineStr">
        <is>
          <t>ACP_Negotiations_Vincent/MEPA/Creative_Manufacturing_Solutions/</t>
        </is>
      </c>
      <c r="R34" s="42" t="n"/>
      <c r="S34" s="42" t="n"/>
      <c r="T34" s="42" t="n"/>
      <c r="U34" s="41" t="inlineStr">
        <is>
          <t>Manual Only</t>
        </is>
      </c>
      <c r="V34" s="42" t="n"/>
    </row>
    <row r="35" ht="30" customHeight="1" s="28">
      <c r="A35" s="40" t="n">
        <v>31</v>
      </c>
      <c r="B35" s="40" t="inlineStr">
        <is>
          <t>MTS Parts for TES</t>
        </is>
      </c>
      <c r="C35" s="40" t="inlineStr">
        <is>
          <t>-</t>
        </is>
      </c>
      <c r="D35" s="40" t="inlineStr">
        <is>
          <t>Custom Fabricated Solutions</t>
        </is>
      </c>
      <c r="E35" s="40" t="inlineStr">
        <is>
          <t>Legal</t>
        </is>
      </c>
      <c r="F35" s="40" t="inlineStr">
        <is>
          <t>Negotiating</t>
        </is>
      </c>
      <c r="G35" s="40" t="n"/>
      <c r="H35" s="40" t="n"/>
      <c r="I35" s="41" t="inlineStr">
        <is>
          <t>MEPA</t>
        </is>
      </c>
      <c r="J35" s="41" t="inlineStr">
        <is>
          <t>Vincent</t>
        </is>
      </c>
      <c r="K35" s="42" t="n"/>
      <c r="L35" s="42" t="n"/>
      <c r="M35" s="42" t="n"/>
      <c r="N35" s="42" t="n"/>
      <c r="O35" s="43">
        <f>IF(ISBLANK(N35),"",TODAY()-N35)</f>
        <v/>
      </c>
      <c r="P35" s="42" t="n"/>
      <c r="Q35" s="42" t="inlineStr">
        <is>
          <t>ACP_Negotiations_Vincent/MEPA/Custom_Fabricated_Solutions/</t>
        </is>
      </c>
      <c r="R35" s="42" t="n"/>
      <c r="S35" s="42" t="n"/>
      <c r="T35" s="42" t="n"/>
      <c r="U35" s="41" t="inlineStr">
        <is>
          <t>Manual Only</t>
        </is>
      </c>
      <c r="V35" s="42" t="n"/>
    </row>
    <row r="36" ht="30" customHeight="1" s="28">
      <c r="A36" s="44" t="n">
        <v>32</v>
      </c>
      <c r="B36" s="44" t="inlineStr">
        <is>
          <t>MTS Parts for TES</t>
        </is>
      </c>
      <c r="C36" s="44" t="inlineStr">
        <is>
          <t>-</t>
        </is>
      </c>
      <c r="D36" s="44" t="inlineStr">
        <is>
          <t>Wesco</t>
        </is>
      </c>
      <c r="E36" s="44" t="inlineStr">
        <is>
          <t>Legal</t>
        </is>
      </c>
      <c r="F36" s="44" t="inlineStr">
        <is>
          <t>Negotiating</t>
        </is>
      </c>
      <c r="G36" s="44" t="n"/>
      <c r="H36" s="44" t="n"/>
      <c r="I36" s="41" t="inlineStr">
        <is>
          <t>MEPA</t>
        </is>
      </c>
      <c r="J36" s="41" t="inlineStr">
        <is>
          <t>Vincent</t>
        </is>
      </c>
      <c r="K36" s="42" t="n"/>
      <c r="L36" s="42" t="n"/>
      <c r="M36" s="42" t="n"/>
      <c r="N36" s="42" t="n"/>
      <c r="O36" s="43">
        <f>IF(ISBLANK(N36),"",TODAY()-N36)</f>
        <v/>
      </c>
      <c r="P36" s="42" t="n"/>
      <c r="Q36" s="42" t="inlineStr">
        <is>
          <t>ACP_Negotiations_Vincent/MEPA/Wesco/</t>
        </is>
      </c>
      <c r="R36" s="42" t="n"/>
      <c r="S36" s="42" t="n"/>
      <c r="T36" s="42" t="n"/>
      <c r="U36" s="41" t="inlineStr">
        <is>
          <t>Manual Only</t>
        </is>
      </c>
      <c r="V36" s="42" t="n"/>
    </row>
    <row r="37" ht="30" customHeight="1" s="28">
      <c r="A37" s="40" t="n">
        <v>33</v>
      </c>
      <c r="B37" s="40" t="inlineStr">
        <is>
          <t>MTS Parts for TES</t>
        </is>
      </c>
      <c r="C37" s="40" t="inlineStr">
        <is>
          <t>-</t>
        </is>
      </c>
      <c r="D37" s="40" t="inlineStr">
        <is>
          <t>Javelin</t>
        </is>
      </c>
      <c r="E37" s="40" t="inlineStr">
        <is>
          <t>Vincent</t>
        </is>
      </c>
      <c r="F37" s="40" t="inlineStr">
        <is>
          <t>Not Started</t>
        </is>
      </c>
      <c r="G37" s="40" t="n"/>
      <c r="H37" s="40" t="inlineStr">
        <is>
          <t>Vincent to gather information</t>
        </is>
      </c>
      <c r="I37" s="41" t="inlineStr">
        <is>
          <t>MEPA</t>
        </is>
      </c>
      <c r="J37" s="41" t="inlineStr">
        <is>
          <t>Vincent</t>
        </is>
      </c>
      <c r="K37" s="42" t="n"/>
      <c r="L37" s="42" t="n"/>
      <c r="M37" s="42" t="n"/>
      <c r="N37" s="42" t="n"/>
      <c r="O37" s="43">
        <f>IF(ISBLANK(N37),"",TODAY()-N37)</f>
        <v/>
      </c>
      <c r="P37" s="42" t="n"/>
      <c r="Q37" s="42" t="inlineStr">
        <is>
          <t>ACP_Negotiations_Vincent/MEPA/Javelin/</t>
        </is>
      </c>
      <c r="R37" s="42" t="n"/>
      <c r="S37" s="42" t="n"/>
      <c r="T37" s="42" t="n"/>
      <c r="U37" s="41" t="inlineStr">
        <is>
          <t>Manual Only</t>
        </is>
      </c>
      <c r="V37" s="42" t="n"/>
    </row>
    <row r="38" ht="30" customHeight="1" s="28">
      <c r="A38" s="44" t="n">
        <v>34</v>
      </c>
      <c r="B38" s="44" t="inlineStr">
        <is>
          <t>MTS Parts for TES</t>
        </is>
      </c>
      <c r="C38" s="44" t="inlineStr">
        <is>
          <t>-</t>
        </is>
      </c>
      <c r="D38" s="44" t="inlineStr">
        <is>
          <t>Graybar</t>
        </is>
      </c>
      <c r="E38" s="44" t="inlineStr">
        <is>
          <t>Vincent</t>
        </is>
      </c>
      <c r="F38" s="44" t="inlineStr">
        <is>
          <t>Not Started</t>
        </is>
      </c>
      <c r="G38" s="44" t="n"/>
      <c r="H38" s="44" t="inlineStr">
        <is>
          <t>Vincent to gather information</t>
        </is>
      </c>
      <c r="I38" s="41" t="inlineStr">
        <is>
          <t>MEPA</t>
        </is>
      </c>
      <c r="J38" s="41" t="inlineStr">
        <is>
          <t>Vincent</t>
        </is>
      </c>
      <c r="K38" s="42" t="n"/>
      <c r="L38" s="42" t="n"/>
      <c r="M38" s="42" t="n"/>
      <c r="N38" s="42" t="n"/>
      <c r="O38" s="43">
        <f>IF(ISBLANK(N38),"",TODAY()-N38)</f>
        <v/>
      </c>
      <c r="P38" s="42" t="n"/>
      <c r="Q38" s="42" t="inlineStr">
        <is>
          <t>ACP_Negotiations_Vincent/MEPA/Graybar/</t>
        </is>
      </c>
      <c r="R38" s="42" t="n"/>
      <c r="S38" s="42" t="n"/>
      <c r="T38" s="42" t="n"/>
      <c r="U38" s="41" t="inlineStr">
        <is>
          <t>Manual Only</t>
        </is>
      </c>
      <c r="V38" s="42" t="n"/>
    </row>
    <row r="39" ht="30" customHeight="1" s="28">
      <c r="A39" s="40" t="n">
        <v>35</v>
      </c>
      <c r="B39" s="40" t="inlineStr">
        <is>
          <t>MTS Parts for TES</t>
        </is>
      </c>
      <c r="C39" s="40" t="inlineStr">
        <is>
          <t>-</t>
        </is>
      </c>
      <c r="D39" s="40" t="inlineStr">
        <is>
          <t>Protolabs - Busbar Standoff / Other</t>
        </is>
      </c>
      <c r="E39" s="40" t="inlineStr">
        <is>
          <t>Supplier</t>
        </is>
      </c>
      <c r="F39" s="40" t="inlineStr">
        <is>
          <t>On Hold</t>
        </is>
      </c>
      <c r="G39" s="40" t="n"/>
      <c r="H39" s="40" t="inlineStr">
        <is>
          <t>Will not execute MPA currently</t>
        </is>
      </c>
      <c r="I39" s="41" t="inlineStr">
        <is>
          <t>MEPA</t>
        </is>
      </c>
      <c r="J39" s="41" t="inlineStr">
        <is>
          <t>Vincent</t>
        </is>
      </c>
      <c r="K39" s="42" t="n"/>
      <c r="L39" s="42" t="n"/>
      <c r="M39" s="42" t="n"/>
      <c r="N39" s="42" t="n"/>
      <c r="O39" s="43">
        <f>IF(ISBLANK(N39),"",TODAY()-N39)</f>
        <v/>
      </c>
      <c r="P39" s="42" t="n"/>
      <c r="Q39" s="42" t="inlineStr">
        <is>
          <t>ACP_Negotiations_Vincent/MEPA/Protolabs/</t>
        </is>
      </c>
      <c r="R39" s="42" t="n"/>
      <c r="S39" s="42" t="n"/>
      <c r="T39" s="42" t="n"/>
      <c r="U39" s="41" t="inlineStr">
        <is>
          <t>Manual Only</t>
        </is>
      </c>
      <c r="V39" s="42" t="n"/>
    </row>
    <row r="40" ht="30" customHeight="1" s="28">
      <c r="A40" s="44" t="n">
        <v>36</v>
      </c>
      <c r="B40" s="44" t="inlineStr">
        <is>
          <t>MTS Parts for TES</t>
        </is>
      </c>
      <c r="C40" s="44" t="inlineStr">
        <is>
          <t>-</t>
        </is>
      </c>
      <c r="D40" s="44" t="inlineStr">
        <is>
          <t>WeWire</t>
        </is>
      </c>
      <c r="E40" s="44" t="inlineStr">
        <is>
          <t>Supplier</t>
        </is>
      </c>
      <c r="F40" s="44" t="inlineStr">
        <is>
          <t>Will Not Execute</t>
        </is>
      </c>
      <c r="G40" s="44" t="n"/>
      <c r="H40" s="44" t="inlineStr">
        <is>
          <t>No-bid on current harness design – no point to onboard to MPA</t>
        </is>
      </c>
      <c r="I40" s="41" t="inlineStr">
        <is>
          <t>MEPA</t>
        </is>
      </c>
      <c r="J40" s="41" t="inlineStr">
        <is>
          <t>Vincent</t>
        </is>
      </c>
      <c r="K40" s="42" t="n"/>
      <c r="L40" s="42" t="n"/>
      <c r="M40" s="42" t="n"/>
      <c r="N40" s="42" t="n"/>
      <c r="O40" s="43">
        <f>IF(ISBLANK(N40),"",TODAY()-N40)</f>
        <v/>
      </c>
      <c r="P40" s="42" t="n"/>
      <c r="Q40" s="42" t="inlineStr">
        <is>
          <t>ACP_Negotiations_Vincent/MEPA/WeWire/</t>
        </is>
      </c>
      <c r="R40" s="42" t="n"/>
      <c r="S40" s="42" t="n"/>
      <c r="T40" s="42" t="n"/>
      <c r="U40" s="41" t="inlineStr">
        <is>
          <t>Manual Only</t>
        </is>
      </c>
      <c r="V40" s="42" t="n"/>
    </row>
  </sheetData>
  <mergeCells count="2">
    <mergeCell ref="A2:V2"/>
    <mergeCell ref="A1:V1"/>
  </mergeCells>
  <dataValidations count="8">
    <dataValidation sqref="F5:F205" showDropDown="0" showInputMessage="0" showErrorMessage="1" allowBlank="1" errorTitle="Invalid value" error="Value must be one of the dropdown options. See 'Reference Data' sheet to extend." promptTitle="Status" prompt="Choose from list (see 'Reference Data' sheet)" type="list" errorStyle="stop" operator="between">
      <formula1>'Reference Data'!$A$5:$A$15</formula1>
      <formula2>0</formula2>
    </dataValidation>
    <dataValidation sqref="E5:E205" showDropDown="0" showInputMessage="0" showErrorMessage="1" allowBlank="1" errorTitle="Invalid value" error="Value must be one of the dropdown options. See 'Reference Data' sheet to extend." promptTitle="Who's Court" prompt="Choose from list (see 'Reference Data' sheet)" type="list" errorStyle="stop" operator="between">
      <formula1>'Reference Data'!$B$5:$B$14</formula1>
      <formula2>0</formula2>
    </dataValidation>
    <dataValidation sqref="C5:C205" showDropDown="0" showInputMessage="0" showErrorMessage="1" allowBlank="1" errorTitle="Invalid value" error="Value must be one of the dropdown options. See 'Reference Data' sheet to extend." promptTitle="Priority" prompt="Choose from list (see 'Reference Data' sheet)" type="list" errorStyle="stop" operator="between">
      <formula1>'Reference Data'!$C$5:$C$8</formula1>
      <formula2>0</formula2>
    </dataValidation>
    <dataValidation sqref="I5:I205" showDropDown="0" showInputMessage="0" showErrorMessage="1" allowBlank="1" errorTitle="Invalid value" error="Value must be one of the dropdown options. See 'Reference Data' sheet to extend." promptTitle="Contract Type" prompt="Choose from list (see 'Reference Data' sheet)" type="list" errorStyle="stop" operator="between">
      <formula1>'Reference Data'!$D$5:$D$6</formula1>
      <formula2>0</formula2>
    </dataValidation>
    <dataValidation sqref="J5:J205" showDropDown="0" showInputMessage="0" showErrorMessage="1" allowBlank="1" errorTitle="Invalid value" error="Value must be one of the dropdown options. See 'Reference Data' sheet to extend." promptTitle="Owner" prompt="Choose from list (see 'Reference Data' sheet)" type="list" errorStyle="stop" operator="between">
      <formula1>'Reference Data'!$E$5:$E$8</formula1>
      <formula2>0</formula2>
    </dataValidation>
    <dataValidation sqref="R5:R205" showDropDown="0" showInputMessage="0" showErrorMessage="1" allowBlank="1" errorTitle="Invalid value" error="Value must be one of the dropdown options. See 'Reference Data' sheet to extend." promptTitle="LRS Status" prompt="Choose from list (see 'Reference Data' sheet)" type="list" errorStyle="stop" operator="between">
      <formula1>'Reference Data'!$F$5:$F$9</formula1>
      <formula2>0</formula2>
    </dataValidation>
    <dataValidation sqref="U5:U205" showDropDown="0" showInputMessage="0" showErrorMessage="1" allowBlank="1" errorTitle="Invalid value" error="Value must be one of the dropdown options. See 'Reference Data' sheet to extend." promptTitle="Automation Status" prompt="Choose from list (see 'Reference Data' sheet)" type="list" errorStyle="stop" operator="between">
      <formula1>'Reference Data'!$G$5:$G$7</formula1>
      <formula2>0</formula2>
    </dataValidation>
    <dataValidation sqref="B5:B205" showDropDown="0" showInputMessage="0" showErrorMessage="1" allowBlank="1" errorTitle="Invalid value" error="Value must be one of the dropdown options. See 'Reference Data' sheet to extend." promptTitle="Category" prompt="Choose from list (see 'Reference Data' sheet)" type="list" errorStyle="stop" operator="between">
      <formula1>'Reference Data'!$H$5:$H$9</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2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27" min="1" max="1"/>
    <col width="10" customWidth="1" style="27" min="2" max="2"/>
    <col width="12" customWidth="1" style="27" min="3" max="3"/>
    <col width="60" customWidth="1" style="27" min="4" max="4"/>
    <col width="50" customWidth="1" style="27" min="5" max="5"/>
  </cols>
  <sheetData>
    <row r="1" ht="17.35" customHeight="1" s="28">
      <c r="A1" s="34" t="inlineStr">
        <is>
          <t>ACP Tracker Schema Reference</t>
        </is>
      </c>
    </row>
    <row r="2" ht="15" customHeight="1" s="28">
      <c r="A2" s="35" t="inlineStr">
        <is>
          <t>Companion to ACP Architecture Specification v2.4 — Section 6.1 Tracker Schema</t>
        </is>
      </c>
    </row>
    <row r="4" ht="24" customHeight="1" s="28">
      <c r="A4" s="36" t="inlineStr">
        <is>
          <t>Column</t>
        </is>
      </c>
      <c r="B4" s="36" t="inlineStr">
        <is>
          <t>Origin</t>
        </is>
      </c>
      <c r="C4" s="36" t="inlineStr">
        <is>
          <t>Writer</t>
        </is>
      </c>
      <c r="D4" s="36" t="inlineStr">
        <is>
          <t>Description</t>
        </is>
      </c>
      <c r="E4" s="36" t="inlineStr">
        <is>
          <t>Valid Values / Format</t>
        </is>
      </c>
    </row>
    <row r="5" ht="48" customHeight="1" s="28">
      <c r="A5" s="45" t="inlineStr">
        <is>
          <t>#</t>
        </is>
      </c>
      <c r="B5" s="46" t="inlineStr">
        <is>
          <t>v1</t>
        </is>
      </c>
      <c r="C5" s="46" t="inlineStr">
        <is>
          <t>Human (SCM)</t>
        </is>
      </c>
      <c r="D5" s="46" t="inlineStr">
        <is>
          <t>Sequential row identifier within this SCM's tracker. Unique within tracker.</t>
        </is>
      </c>
      <c r="E5" s="46" t="inlineStr">
        <is>
          <t>Positive integer</t>
        </is>
      </c>
    </row>
    <row r="6" ht="48" customHeight="1" s="28">
      <c r="A6" s="45" t="inlineStr">
        <is>
          <t>Category</t>
        </is>
      </c>
      <c r="B6" s="46" t="inlineStr">
        <is>
          <t>v1</t>
        </is>
      </c>
      <c r="C6" s="46" t="inlineStr">
        <is>
          <t>Human (SCM)</t>
        </is>
      </c>
      <c r="D6" s="46" t="inlineStr">
        <is>
          <t>High-level category for filtering and grouping. Existing values from v1.</t>
        </is>
      </c>
      <c r="E6" s="46" t="inlineStr">
        <is>
          <t>BOP-EE, BOP-Service, MTS Parts for TES, MTS Parts for MTS, Other</t>
        </is>
      </c>
    </row>
    <row r="7" ht="48" customHeight="1" s="28">
      <c r="A7" s="45" t="inlineStr">
        <is>
          <t>Priority</t>
        </is>
      </c>
      <c r="B7" s="46" t="inlineStr">
        <is>
          <t>v1</t>
        </is>
      </c>
      <c r="C7" s="46" t="inlineStr">
        <is>
          <t>Human (SCM)</t>
        </is>
      </c>
      <c r="D7" s="46" t="inlineStr">
        <is>
          <t>Priority indicator the SCM assigns; drives queue ordering in Agent 9 outputs.</t>
        </is>
      </c>
      <c r="E7" s="46" t="inlineStr">
        <is>
          <t>High, Medium, Low, —</t>
        </is>
      </c>
    </row>
    <row r="8" ht="48" customHeight="1" s="28">
      <c r="A8" s="45" t="inlineStr">
        <is>
          <t>Counterparty / Description</t>
        </is>
      </c>
      <c r="B8" s="46" t="inlineStr">
        <is>
          <t>v1</t>
        </is>
      </c>
      <c r="C8" s="46" t="inlineStr">
        <is>
          <t>Human (SCM)</t>
        </is>
      </c>
      <c r="D8" s="46" t="inlineStr">
        <is>
          <t>Free-text description of the supplier and scope. Counterparty name should appear first, followed by ' - ' and a scope descriptor (e.g., 'Texas Transformers - 67 1.5MVA TES XFMRs').</t>
        </is>
      </c>
      <c r="E8" s="46" t="inlineStr">
        <is>
          <t>Free text; format: '{Counterparty} - {Scope}'</t>
        </is>
      </c>
    </row>
    <row r="9" ht="48" customHeight="1" s="28">
      <c r="A9" s="45" t="inlineStr">
        <is>
          <t>Who's Court</t>
        </is>
      </c>
      <c r="B9" s="46" t="inlineStr">
        <is>
          <t>v1</t>
        </is>
      </c>
      <c r="C9" s="46" t="inlineStr">
        <is>
          <t>Human (SCM)</t>
        </is>
      </c>
      <c r="D9" s="46" t="inlineStr">
        <is>
          <t>Who owns the next move. SCM updates this to track handoffs.</t>
        </is>
      </c>
      <c r="E9" s="46" t="inlineStr">
        <is>
          <t>Vincent / Tom / Emily / Mugdha / Legal / Engineering / Supplier / Counterparty / Exec Approval / Completed</t>
        </is>
      </c>
    </row>
    <row r="10" ht="48" customHeight="1" s="28">
      <c r="A10" s="45" t="inlineStr">
        <is>
          <t>Status</t>
        </is>
      </c>
      <c r="B10" s="46" t="inlineStr">
        <is>
          <t>v1</t>
        </is>
      </c>
      <c r="C10" s="46" t="inlineStr">
        <is>
          <t>Human (SCM)</t>
        </is>
      </c>
      <c r="D10" s="46" t="inlineStr">
        <is>
          <t>Current state in the negotiation lifecycle. Validated by Agent 3 against the state machine.</t>
        </is>
      </c>
      <c r="E10" s="46" t="inlineStr">
        <is>
          <t>Not Started, Requested, MEPA Sent / MPA Sent / Contract Sent, Redlines Received, Negotiating, Pending Signature, Executed / Active, On Hold, Will Not Execute</t>
        </is>
      </c>
    </row>
    <row r="11" ht="48" customHeight="1" s="28">
      <c r="A11" s="45" t="inlineStr">
        <is>
          <t>Comments</t>
        </is>
      </c>
      <c r="B11" s="46" t="inlineStr">
        <is>
          <t>v1</t>
        </is>
      </c>
      <c r="C11" s="46" t="inlineStr">
        <is>
          <t>Human (SCM)</t>
        </is>
      </c>
      <c r="D11" s="46" t="inlineStr">
        <is>
          <t>Free-text notes from the SCM. Agents do not write here.</t>
        </is>
      </c>
      <c r="E11" s="46" t="inlineStr">
        <is>
          <t>Free text</t>
        </is>
      </c>
    </row>
    <row r="12" ht="48" customHeight="1" s="28">
      <c r="A12" s="45" t="inlineStr">
        <is>
          <t>Action / Next Steps</t>
        </is>
      </c>
      <c r="B12" s="46" t="inlineStr">
        <is>
          <t>v1</t>
        </is>
      </c>
      <c r="C12" s="46" t="inlineStr">
        <is>
          <t>Human (SCM)</t>
        </is>
      </c>
      <c r="D12" s="46" t="inlineStr">
        <is>
          <t>What needs to happen next and by whom. SCM updates as actions complete.</t>
        </is>
      </c>
      <c r="E12" s="46" t="inlineStr">
        <is>
          <t>Free text</t>
        </is>
      </c>
    </row>
    <row r="13" ht="48" customHeight="1" s="28">
      <c r="A13" s="47" t="inlineStr">
        <is>
          <t>Contract Type</t>
        </is>
      </c>
      <c r="B13" s="48" t="inlineStr">
        <is>
          <t>v2</t>
        </is>
      </c>
      <c r="C13" s="48" t="inlineStr">
        <is>
          <t>Human (SCM)</t>
        </is>
      </c>
      <c r="D13" s="48" t="inlineStr">
        <is>
          <t>Contract type for this negotiation. Phase 1 values are MEPA and MPA. Additional values added per Phase 6+ expansion. Drives playbook selection in Agent 5 and template selection in Agent 6.</t>
        </is>
      </c>
      <c r="E13" s="48" t="inlineStr">
        <is>
          <t>MEPA, MPA (Phase 1); NDA, MSA, PO_TC (Phase 6+ candidates)</t>
        </is>
      </c>
    </row>
    <row r="14" ht="48" customHeight="1" s="28">
      <c r="A14" s="47" t="inlineStr">
        <is>
          <t>Owner (SCM)</t>
        </is>
      </c>
      <c r="B14" s="48" t="inlineStr">
        <is>
          <t>v2</t>
        </is>
      </c>
      <c r="C14" s="48" t="inlineStr">
        <is>
          <t>Human (SCM)</t>
        </is>
      </c>
      <c r="D14" s="48" t="inlineStr">
        <is>
          <t>Which SCM owns this negotiation. Agent 9 uses this to scope tenant-specific views.</t>
        </is>
      </c>
      <c r="E14" s="48" t="inlineStr">
        <is>
          <t>Vincent, Tom, Emily, Mugdha</t>
        </is>
      </c>
    </row>
    <row r="15" ht="48" customHeight="1" s="28">
      <c r="A15" s="47" t="inlineStr">
        <is>
          <t>Round Number</t>
        </is>
      </c>
      <c r="B15" s="48" t="inlineStr">
        <is>
          <t>v2</t>
        </is>
      </c>
      <c r="C15" s="48" t="inlineStr">
        <is>
          <t>Agent 3</t>
        </is>
      </c>
      <c r="D15" s="48" t="inlineStr">
        <is>
          <t>Current negotiation round. Increments when a new counterparty version is detected by Agent 1.</t>
        </is>
      </c>
      <c r="E15" s="48" t="inlineStr">
        <is>
          <t>Integer; starts at 0; increments on each inbound supplier redline</t>
        </is>
      </c>
    </row>
    <row r="16" ht="48" customHeight="1" s="28">
      <c r="A16" s="47" t="inlineStr">
        <is>
          <t>Last Antora Version Sent</t>
        </is>
      </c>
      <c r="B16" s="48" t="inlineStr">
        <is>
          <t>v2</t>
        </is>
      </c>
      <c r="C16" s="48" t="inlineStr">
        <is>
          <t>Agent 2</t>
        </is>
      </c>
      <c r="D16" s="48" t="inlineStr">
        <is>
          <t>Drive path to the most recent Antora-sent version of the contract document.</t>
        </is>
      </c>
      <c r="E16" s="48" t="inlineStr">
        <is>
          <t>Drive path string</t>
        </is>
      </c>
    </row>
    <row r="17" ht="48" customHeight="1" s="28">
      <c r="A17" s="47" t="inlineStr">
        <is>
          <t>Last Counterparty Version</t>
        </is>
      </c>
      <c r="B17" s="48" t="inlineStr">
        <is>
          <t>v2</t>
        </is>
      </c>
      <c r="C17" s="48" t="inlineStr">
        <is>
          <t>Agent 2</t>
        </is>
      </c>
      <c r="D17" s="48" t="inlineStr">
        <is>
          <t>Drive path to the most recent counterparty-returned version of the contract document.</t>
        </is>
      </c>
      <c r="E17" s="48" t="inlineStr">
        <is>
          <t>Drive path string</t>
        </is>
      </c>
    </row>
    <row r="18" ht="48" customHeight="1" s="28">
      <c r="A18" s="47" t="inlineStr">
        <is>
          <t>Last Activity Date</t>
        </is>
      </c>
      <c r="B18" s="48" t="inlineStr">
        <is>
          <t>v2</t>
        </is>
      </c>
      <c r="C18" s="48" t="inlineStr">
        <is>
          <t>Agent 3</t>
        </is>
      </c>
      <c r="D18" s="48" t="inlineStr">
        <is>
          <t>ISO 8601 date of the most recent state event for this negotiation.</t>
        </is>
      </c>
      <c r="E18" s="48" t="inlineStr">
        <is>
          <t>YYYY-MM-DD</t>
        </is>
      </c>
    </row>
    <row r="19" ht="48" customHeight="1" s="28">
      <c r="A19" s="47" t="inlineStr">
        <is>
          <t>Days Since Last Activity</t>
        </is>
      </c>
      <c r="B19" s="48" t="inlineStr">
        <is>
          <t>v2</t>
        </is>
      </c>
      <c r="C19" s="48" t="inlineStr">
        <is>
          <t>Formula</t>
        </is>
      </c>
      <c r="D19" s="48" t="inlineStr">
        <is>
          <t>Days between today and Last Activity Date. Drives stalled-deal flagging in Agent 9. Threshold for 'stalled' default: 14 days.</t>
        </is>
      </c>
      <c r="E19" s="48" t="inlineStr">
        <is>
          <t>Integer (formula-derived)</t>
        </is>
      </c>
    </row>
    <row r="20" ht="48" customHeight="1" s="28">
      <c r="A20" s="47" t="inlineStr">
        <is>
          <t>Gmail Thread ID</t>
        </is>
      </c>
      <c r="B20" s="48" t="inlineStr">
        <is>
          <t>v2</t>
        </is>
      </c>
      <c r="C20" s="48" t="inlineStr">
        <is>
          <t>Agent 1</t>
        </is>
      </c>
      <c r="D20" s="48" t="inlineStr">
        <is>
          <t>Gmail thread ID for the negotiation's correspondence. Used by Agent 1 to deduplicate messages.</t>
        </is>
      </c>
      <c r="E20" s="48" t="inlineStr">
        <is>
          <t>Gmail thread ID string</t>
        </is>
      </c>
    </row>
    <row r="21" ht="48" customHeight="1" s="28">
      <c r="A21" s="47" t="inlineStr">
        <is>
          <t>Drive Folder Path</t>
        </is>
      </c>
      <c r="B21" s="48" t="inlineStr">
        <is>
          <t>v2</t>
        </is>
      </c>
      <c r="C21" s="48" t="inlineStr">
        <is>
          <t>Agent 2</t>
        </is>
      </c>
      <c r="D21" s="48" t="inlineStr">
        <is>
          <t>Canonical path to this negotiation's round artifacts. Pattern: ACP_Negotiations_{SCM}/{contract_type}/{counterparty_slug}/</t>
        </is>
      </c>
      <c r="E21" s="48" t="inlineStr">
        <is>
          <t>Drive path string</t>
        </is>
      </c>
    </row>
    <row r="22" ht="48" customHeight="1" s="28">
      <c r="A22" s="47" t="inlineStr">
        <is>
          <t>LRS Status</t>
        </is>
      </c>
      <c r="B22" s="48" t="inlineStr">
        <is>
          <t>v2</t>
        </is>
      </c>
      <c r="C22" s="48" t="inlineStr">
        <is>
          <t>Agent 7</t>
        </is>
      </c>
      <c r="D22" s="48" t="inlineStr">
        <is>
          <t>Status of the Legal Reference Sheet for the current round.</t>
        </is>
      </c>
      <c r="E22" s="48" t="inlineStr">
        <is>
          <t>Not Generated, Draft, Awaiting Legal Review, Approved, Returned for Revision</t>
        </is>
      </c>
    </row>
    <row r="23" ht="48" customHeight="1" s="28">
      <c r="A23" s="47" t="inlineStr">
        <is>
          <t>Counterparty Profile Ref</t>
        </is>
      </c>
      <c r="B23" s="48" t="inlineStr">
        <is>
          <t>v2</t>
        </is>
      </c>
      <c r="C23" s="48" t="inlineStr">
        <is>
          <t>Agent 5</t>
        </is>
      </c>
      <c r="D23" s="48" t="inlineStr">
        <is>
          <t>Reference to the counterparty profile used by Agent 5 to calibrate analysis (e.g., 'tier-1-domestic-OEM').</t>
        </is>
      </c>
      <c r="E23" s="48" t="inlineStr">
        <is>
          <t>Profile slug string</t>
        </is>
      </c>
    </row>
    <row r="24" ht="48" customHeight="1" s="28">
      <c r="A24" s="47" t="inlineStr">
        <is>
          <t>Last LRS Sent Date</t>
        </is>
      </c>
      <c r="B24" s="48" t="inlineStr">
        <is>
          <t>v2</t>
        </is>
      </c>
      <c r="C24" s="48" t="inlineStr">
        <is>
          <t>Agent 7</t>
        </is>
      </c>
      <c r="D24" s="48" t="inlineStr">
        <is>
          <t>ISO 8601 date the most recent LRS was sent to the Legal Reviewer.</t>
        </is>
      </c>
      <c r="E24" s="48" t="inlineStr">
        <is>
          <t>YYYY-MM-DD</t>
        </is>
      </c>
    </row>
    <row r="25" ht="48" customHeight="1" s="28">
      <c r="A25" s="47" t="inlineStr">
        <is>
          <t>Automation Status</t>
        </is>
      </c>
      <c r="B25" s="48" t="inlineStr">
        <is>
          <t>v2</t>
        </is>
      </c>
      <c r="C25" s="48" t="inlineStr">
        <is>
          <t>Human (SCM)</t>
        </is>
      </c>
      <c r="D25" s="48" t="inlineStr">
        <is>
          <t>Whether ACP processes this negotiation automatically. Supports Principle 2.9 Opt-Out.</t>
        </is>
      </c>
      <c r="E25" s="48" t="inlineStr">
        <is>
          <t>Active, Paused, Manual Only</t>
        </is>
      </c>
    </row>
    <row r="26" ht="48" customHeight="1" s="28">
      <c r="A26" s="47" t="inlineStr">
        <is>
          <t>Audit Log Ref</t>
        </is>
      </c>
      <c r="B26" s="48" t="inlineStr">
        <is>
          <t>v2</t>
        </is>
      </c>
      <c r="C26" s="48" t="inlineStr">
        <is>
          <t>Agent 8</t>
        </is>
      </c>
      <c r="D26" s="48" t="inlineStr">
        <is>
          <t>Reference (e.g., row range) to this negotiation's entries in the immutable audit log.</t>
        </is>
      </c>
      <c r="E26" s="48" t="inlineStr">
        <is>
          <t>Audit log range string</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1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27" min="1" max="8"/>
  </cols>
  <sheetData>
    <row r="1" ht="17.35" customHeight="1" s="28">
      <c r="A1" s="34" t="inlineStr">
        <is>
          <t>Reference Data — Source of Truth for Tracker Validation</t>
        </is>
      </c>
    </row>
    <row r="2" ht="15" customHeight="1" s="28">
      <c r="A2" s="35" t="inlineStr">
        <is>
          <t>Edit values here to update dropdown lists across the Negotiations sheet.</t>
        </is>
      </c>
    </row>
    <row r="4" ht="27.75" customHeight="1" s="28">
      <c r="A4" s="36" t="inlineStr">
        <is>
          <t>Status Values</t>
        </is>
      </c>
      <c r="B4" s="36" t="inlineStr">
        <is>
          <t>Who's Court Values</t>
        </is>
      </c>
      <c r="C4" s="36" t="inlineStr">
        <is>
          <t>Priority Values</t>
        </is>
      </c>
      <c r="D4" s="36" t="inlineStr">
        <is>
          <t>Contract Type Values</t>
        </is>
      </c>
      <c r="E4" s="36" t="inlineStr">
        <is>
          <t>Owner (SCM) Values</t>
        </is>
      </c>
      <c r="F4" s="36" t="inlineStr">
        <is>
          <t>LRS Status Values</t>
        </is>
      </c>
      <c r="G4" s="36" t="inlineStr">
        <is>
          <t>Automation Status Values</t>
        </is>
      </c>
      <c r="H4" s="36" t="inlineStr">
        <is>
          <t>Category Values</t>
        </is>
      </c>
    </row>
    <row r="5" ht="15" customHeight="1" s="28">
      <c r="A5" s="49" t="inlineStr">
        <is>
          <t>Not Started</t>
        </is>
      </c>
      <c r="B5" s="49" t="inlineStr">
        <is>
          <t>Vincent</t>
        </is>
      </c>
      <c r="C5" s="49" t="inlineStr">
        <is>
          <t>High</t>
        </is>
      </c>
      <c r="D5" s="49" t="inlineStr">
        <is>
          <t>MEPA</t>
        </is>
      </c>
      <c r="E5" s="49" t="inlineStr">
        <is>
          <t>Vincent</t>
        </is>
      </c>
      <c r="F5" s="49" t="inlineStr">
        <is>
          <t>Not Generated</t>
        </is>
      </c>
      <c r="G5" s="49" t="inlineStr">
        <is>
          <t>Active</t>
        </is>
      </c>
      <c r="H5" s="49" t="inlineStr">
        <is>
          <t>BOP-EE</t>
        </is>
      </c>
    </row>
    <row r="6" ht="15" customHeight="1" s="28">
      <c r="A6" s="49" t="inlineStr">
        <is>
          <t>Requested</t>
        </is>
      </c>
      <c r="B6" s="49" t="inlineStr">
        <is>
          <t>Tom</t>
        </is>
      </c>
      <c r="C6" s="49" t="inlineStr">
        <is>
          <t>Medium</t>
        </is>
      </c>
      <c r="D6" s="49" t="inlineStr">
        <is>
          <t>MPA</t>
        </is>
      </c>
      <c r="E6" s="49" t="inlineStr">
        <is>
          <t>Tom</t>
        </is>
      </c>
      <c r="F6" s="49" t="inlineStr">
        <is>
          <t>Draft</t>
        </is>
      </c>
      <c r="G6" s="49" t="inlineStr">
        <is>
          <t>Paused</t>
        </is>
      </c>
      <c r="H6" s="49" t="inlineStr">
        <is>
          <t>BOP-Service</t>
        </is>
      </c>
    </row>
    <row r="7" ht="15" customHeight="1" s="28">
      <c r="A7" s="49" t="inlineStr">
        <is>
          <t>MEPA Sent</t>
        </is>
      </c>
      <c r="B7" s="49" t="inlineStr">
        <is>
          <t>Emily</t>
        </is>
      </c>
      <c r="C7" s="49" t="inlineStr">
        <is>
          <t>Low</t>
        </is>
      </c>
      <c r="E7" s="49" t="inlineStr">
        <is>
          <t>Emily</t>
        </is>
      </c>
      <c r="F7" s="49" t="inlineStr">
        <is>
          <t>Awaiting Legal Review</t>
        </is>
      </c>
      <c r="G7" s="49" t="inlineStr">
        <is>
          <t>Manual Only</t>
        </is>
      </c>
      <c r="H7" s="49" t="inlineStr">
        <is>
          <t>MTS Parts for TES</t>
        </is>
      </c>
    </row>
    <row r="8" ht="15" customHeight="1" s="28">
      <c r="A8" s="49" t="inlineStr">
        <is>
          <t>MPA Sent</t>
        </is>
      </c>
      <c r="B8" s="49" t="inlineStr">
        <is>
          <t>Mugdha</t>
        </is>
      </c>
      <c r="C8" s="49" t="inlineStr">
        <is>
          <t>—</t>
        </is>
      </c>
      <c r="E8" s="49" t="inlineStr">
        <is>
          <t>Mugdha</t>
        </is>
      </c>
      <c r="F8" s="49" t="inlineStr">
        <is>
          <t>Approved</t>
        </is>
      </c>
      <c r="H8" s="49" t="inlineStr">
        <is>
          <t>MTS Parts for MTS</t>
        </is>
      </c>
    </row>
    <row r="9" ht="15" customHeight="1" s="28">
      <c r="A9" s="49" t="inlineStr">
        <is>
          <t>Contract Sent</t>
        </is>
      </c>
      <c r="B9" s="49" t="inlineStr">
        <is>
          <t>Legal</t>
        </is>
      </c>
      <c r="F9" s="49" t="inlineStr">
        <is>
          <t>Returned for Revision</t>
        </is>
      </c>
      <c r="H9" s="49" t="inlineStr">
        <is>
          <t>Other</t>
        </is>
      </c>
    </row>
    <row r="10" ht="15" customHeight="1" s="28">
      <c r="A10" s="49" t="inlineStr">
        <is>
          <t>Redlines Received</t>
        </is>
      </c>
      <c r="B10" s="49" t="inlineStr">
        <is>
          <t>Engineering</t>
        </is>
      </c>
    </row>
    <row r="11" ht="15" customHeight="1" s="28">
      <c r="A11" s="49" t="inlineStr">
        <is>
          <t>Negotiating</t>
        </is>
      </c>
      <c r="B11" s="49" t="inlineStr">
        <is>
          <t>Supplier</t>
        </is>
      </c>
    </row>
    <row r="12" ht="15" customHeight="1" s="28">
      <c r="A12" s="49" t="inlineStr">
        <is>
          <t>Pending Signature</t>
        </is>
      </c>
      <c r="B12" s="49" t="inlineStr">
        <is>
          <t>Counterparty</t>
        </is>
      </c>
    </row>
    <row r="13" ht="15" customHeight="1" s="28">
      <c r="A13" s="49" t="inlineStr">
        <is>
          <t>Executed / Active</t>
        </is>
      </c>
      <c r="B13" s="49" t="inlineStr">
        <is>
          <t>Exec Approval</t>
        </is>
      </c>
    </row>
    <row r="14" ht="15" customHeight="1" s="28">
      <c r="A14" s="49" t="inlineStr">
        <is>
          <t>On Hold</t>
        </is>
      </c>
      <c r="B14" s="49" t="inlineStr">
        <is>
          <t>Completed</t>
        </is>
      </c>
    </row>
    <row r="15" ht="15" customHeight="1" s="28">
      <c r="A15" s="49" t="inlineStr">
        <is>
          <t>Will Not Execute</t>
        </is>
      </c>
    </row>
  </sheetData>
  <mergeCells count="1">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3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27" min="1" max="1"/>
    <col width="14" customWidth="1" style="27" min="2" max="2"/>
    <col width="4" customWidth="1" style="27" min="3" max="3"/>
    <col width="28" customWidth="1" style="27" min="4" max="4"/>
    <col width="14" customWidth="1" style="27" min="5" max="5"/>
  </cols>
  <sheetData>
    <row r="1" ht="17.35" customHeight="1" s="28">
      <c r="A1" s="34" t="inlineStr">
        <is>
          <t>Tracker Summary — Vincent's Portfolio</t>
        </is>
      </c>
    </row>
    <row r="2" ht="15" customHeight="1" s="28">
      <c r="A2" s="35" t="inlineStr">
        <is>
          <t>Live counts derived from the Negotiations sheet. No manual maintenance.</t>
        </is>
      </c>
    </row>
    <row r="4" ht="15" customHeight="1" s="28">
      <c r="A4" s="50" t="inlineStr">
        <is>
          <t>Total Negotiations</t>
        </is>
      </c>
      <c r="B4" s="51">
        <f>COUNTA(Negotiations!A5:A1000)</f>
        <v/>
      </c>
    </row>
    <row r="6" ht="15" customHeight="1" s="28">
      <c r="A6" s="52" t="inlineStr">
        <is>
          <t>By Status</t>
        </is>
      </c>
      <c r="D6" s="52" t="inlineStr">
        <is>
          <t>By Contract Type</t>
        </is>
      </c>
    </row>
    <row r="7" ht="15" customHeight="1" s="28">
      <c r="A7" s="53" t="inlineStr">
        <is>
          <t>Not Started</t>
        </is>
      </c>
      <c r="B7" s="54">
        <f>COUNTIF(Negotiations!F5:F1000,"Not Started")</f>
        <v/>
      </c>
      <c r="D7" s="53" t="inlineStr">
        <is>
          <t>MEPA</t>
        </is>
      </c>
      <c r="E7" s="54">
        <f>COUNTIF(Negotiations!I5:I1000,"MEPA")</f>
        <v/>
      </c>
    </row>
    <row r="8" ht="15" customHeight="1" s="28">
      <c r="A8" s="53" t="inlineStr">
        <is>
          <t>Requested</t>
        </is>
      </c>
      <c r="B8" s="54">
        <f>COUNTIF(Negotiations!F5:F1000,"Requested")</f>
        <v/>
      </c>
      <c r="D8" s="53" t="inlineStr">
        <is>
          <t>MPA</t>
        </is>
      </c>
      <c r="E8" s="54">
        <f>COUNTIF(Negotiations!I5:I1000,"MPA")</f>
        <v/>
      </c>
    </row>
    <row r="9" ht="15" customHeight="1" s="28">
      <c r="A9" s="53" t="inlineStr">
        <is>
          <t>MEPA Sent</t>
        </is>
      </c>
      <c r="B9" s="54">
        <f>COUNTIF(Negotiations!F5:F1000,"MEPA Sent")</f>
        <v/>
      </c>
    </row>
    <row r="10" ht="15" customHeight="1" s="28">
      <c r="A10" s="53" t="inlineStr">
        <is>
          <t>MPA Sent</t>
        </is>
      </c>
      <c r="B10" s="54">
        <f>COUNTIF(Negotiations!F5:F1000,"MPA Sent")</f>
        <v/>
      </c>
    </row>
    <row r="11" ht="15" customHeight="1" s="28">
      <c r="A11" s="53" t="inlineStr">
        <is>
          <t>Contract Sent</t>
        </is>
      </c>
      <c r="B11" s="54">
        <f>COUNTIF(Negotiations!F5:F1000,"Contract Sent")</f>
        <v/>
      </c>
      <c r="D11" s="52" t="inlineStr">
        <is>
          <t>By Priority</t>
        </is>
      </c>
    </row>
    <row r="12" ht="15" customHeight="1" s="28">
      <c r="A12" s="53" t="inlineStr">
        <is>
          <t>Redlines Received</t>
        </is>
      </c>
      <c r="B12" s="54">
        <f>COUNTIF(Negotiations!F5:F1000,"Redlines Received")</f>
        <v/>
      </c>
      <c r="D12" s="53" t="inlineStr">
        <is>
          <t>High</t>
        </is>
      </c>
      <c r="E12" s="54">
        <f>COUNTIF(Negotiations!C5:C1000,"High")</f>
        <v/>
      </c>
    </row>
    <row r="13" ht="15" customHeight="1" s="28">
      <c r="A13" s="53" t="inlineStr">
        <is>
          <t>Negotiating</t>
        </is>
      </c>
      <c r="B13" s="54">
        <f>COUNTIF(Negotiations!F5:F1000,"Negotiating")</f>
        <v/>
      </c>
      <c r="D13" s="53" t="inlineStr">
        <is>
          <t>Medium</t>
        </is>
      </c>
      <c r="E13" s="54">
        <f>COUNTIF(Negotiations!C5:C1000,"Medium")</f>
        <v/>
      </c>
    </row>
    <row r="14" ht="15" customHeight="1" s="28">
      <c r="A14" s="53" t="inlineStr">
        <is>
          <t>Pending Signature</t>
        </is>
      </c>
      <c r="B14" s="54">
        <f>COUNTIF(Negotiations!F5:F1000,"Pending Signature")</f>
        <v/>
      </c>
      <c r="D14" s="53" t="inlineStr">
        <is>
          <t>Low</t>
        </is>
      </c>
      <c r="E14" s="54">
        <f>COUNTIF(Negotiations!C5:C1000,"Low")</f>
        <v/>
      </c>
    </row>
    <row r="15" ht="15" customHeight="1" s="28">
      <c r="A15" s="53" t="inlineStr">
        <is>
          <t>Executed / Active</t>
        </is>
      </c>
      <c r="B15" s="54">
        <f>COUNTIF(Negotiations!F5:F1000,"Executed / Active")</f>
        <v/>
      </c>
      <c r="D15" s="53" t="inlineStr">
        <is>
          <t>—</t>
        </is>
      </c>
      <c r="E15" s="54">
        <f>COUNTIF(Negotiations!C5:C1000,"—")</f>
        <v/>
      </c>
    </row>
    <row r="16" ht="15" customHeight="1" s="28">
      <c r="A16" s="53" t="inlineStr">
        <is>
          <t>On Hold</t>
        </is>
      </c>
      <c r="B16" s="54">
        <f>COUNTIF(Negotiations!F5:F1000,"On Hold")</f>
        <v/>
      </c>
    </row>
    <row r="17" ht="15" customHeight="1" s="28">
      <c r="A17" s="53" t="inlineStr">
        <is>
          <t>Will Not Execute</t>
        </is>
      </c>
      <c r="B17" s="54">
        <f>COUNTIF(Negotiations!F5:F1000,"Will Not Execute")</f>
        <v/>
      </c>
    </row>
    <row r="18" ht="15" customHeight="1" s="28">
      <c r="D18" s="55" t="inlineStr">
        <is>
          <t>Stalled Deals (&gt;14 days)</t>
        </is>
      </c>
    </row>
    <row r="19" ht="15" customHeight="1" s="28">
      <c r="D19" s="53" t="inlineStr">
        <is>
          <t>Negotiations stalled</t>
        </is>
      </c>
      <c r="E19" s="54">
        <f>COUNTIF(Negotiations!O5:O1000,"&gt;14")</f>
        <v/>
      </c>
    </row>
    <row r="20" ht="15" customHeight="1" s="28">
      <c r="A20" s="52" t="inlineStr">
        <is>
          <t>By Who's Court</t>
        </is>
      </c>
    </row>
    <row r="21" ht="15" customHeight="1" s="28">
      <c r="A21" s="53" t="inlineStr">
        <is>
          <t>Vincent</t>
        </is>
      </c>
      <c r="B21" s="54">
        <f>COUNTIF(Negotiations!E5:E1000,"Vincent")</f>
        <v/>
      </c>
    </row>
    <row r="22" ht="15" customHeight="1" s="28">
      <c r="A22" s="53" t="inlineStr">
        <is>
          <t>Tom</t>
        </is>
      </c>
      <c r="B22" s="54">
        <f>COUNTIF(Negotiations!E5:E1000,"Tom")</f>
        <v/>
      </c>
    </row>
    <row r="23" ht="15" customHeight="1" s="28">
      <c r="A23" s="53" t="inlineStr">
        <is>
          <t>Emily</t>
        </is>
      </c>
      <c r="B23" s="54">
        <f>COUNTIF(Negotiations!E5:E1000,"Emily")</f>
        <v/>
      </c>
    </row>
    <row r="24" ht="15" customHeight="1" s="28">
      <c r="A24" s="53" t="inlineStr">
        <is>
          <t>Mugdha</t>
        </is>
      </c>
      <c r="B24" s="54">
        <f>COUNTIF(Negotiations!E5:E1000,"Mugdha")</f>
        <v/>
      </c>
    </row>
    <row r="25" ht="15" customHeight="1" s="28">
      <c r="A25" s="53" t="inlineStr">
        <is>
          <t>Legal</t>
        </is>
      </c>
      <c r="B25" s="54">
        <f>COUNTIF(Negotiations!E5:E1000,"Legal")</f>
        <v/>
      </c>
    </row>
    <row r="26" ht="15" customHeight="1" s="28">
      <c r="A26" s="53" t="inlineStr">
        <is>
          <t>Engineering</t>
        </is>
      </c>
      <c r="B26" s="54">
        <f>COUNTIF(Negotiations!E5:E1000,"Engineering")</f>
        <v/>
      </c>
    </row>
    <row r="27" ht="15" customHeight="1" s="28">
      <c r="A27" s="53" t="inlineStr">
        <is>
          <t>Supplier</t>
        </is>
      </c>
      <c r="B27" s="54">
        <f>COUNTIF(Negotiations!E5:E1000,"Supplier")</f>
        <v/>
      </c>
    </row>
    <row r="28" ht="15" customHeight="1" s="28">
      <c r="A28" s="53" t="inlineStr">
        <is>
          <t>Counterparty</t>
        </is>
      </c>
      <c r="B28" s="54">
        <f>COUNTIF(Negotiations!E5:E1000,"Counterparty")</f>
        <v/>
      </c>
    </row>
    <row r="29" ht="15" customHeight="1" s="28">
      <c r="A29" s="53" t="inlineStr">
        <is>
          <t>Exec Approval</t>
        </is>
      </c>
      <c r="B29" s="54">
        <f>COUNTIF(Negotiations!E5:E1000,"Exec Approval")</f>
        <v/>
      </c>
    </row>
    <row r="30" ht="15" customHeight="1" s="28">
      <c r="A30" s="53" t="inlineStr">
        <is>
          <t>Completed</t>
        </is>
      </c>
      <c r="B30" s="54">
        <f>COUNTIF(Negotiations!E5:E1000,"Completed")</f>
        <v/>
      </c>
    </row>
  </sheetData>
  <mergeCells count="7">
    <mergeCell ref="A1:D1"/>
    <mergeCell ref="A20:B20"/>
    <mergeCell ref="D6:E6"/>
    <mergeCell ref="D11:E11"/>
    <mergeCell ref="A2:D2"/>
    <mergeCell ref="D18:E18"/>
    <mergeCell ref="A6:B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2026-05-24T23:19:09Z</dcterms:created>
  <dcterms:modified xmlns:dcterms="http://purl.org/dc/terms/" xmlns:xsi="http://www.w3.org/2001/XMLSchema-instance" xsi:type="dcterms:W3CDTF">2026-05-24T23:19:50Z</dcterms:modified>
  <cp:revision>0</cp:revision>
</cp:coreProperties>
</file>